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Production_Inventory\Production (1)\Grease Production Reports\"/>
    </mc:Choice>
  </mc:AlternateContent>
  <xr:revisionPtr revIDLastSave="0" documentId="13_ncr:1_{D622EA89-452C-4015-8FC3-5DCA055E12DE}" xr6:coauthVersionLast="47" xr6:coauthVersionMax="47" xr10:uidLastSave="{00000000-0000-0000-0000-000000000000}"/>
  <bookViews>
    <workbookView xWindow="-108" yWindow="-108" windowWidth="23256" windowHeight="12456" tabRatio="919" firstSheet="48" activeTab="49" xr2:uid="{2ECB1F6C-135A-4F72-AF37-BF0E6F058E72}"/>
  </bookViews>
  <sheets>
    <sheet name="Moly Tech Fine Pail - Powder" sheetId="188" r:id="rId1"/>
    <sheet name="CCL Keg" sheetId="187" r:id="rId2"/>
    <sheet name="Stock Correction" sheetId="108" r:id="rId3"/>
    <sheet name="Sheet4" sheetId="185" r:id="rId4"/>
    <sheet name="Anderol 86 EP-2" sheetId="134" r:id="rId5"/>
    <sheet name="Anderol FGCS-2" sheetId="145" r:id="rId6"/>
    <sheet name="Amsoil Dominator GRGCR" sheetId="116" r:id="rId7"/>
    <sheet name="Amsoil GPOR1 - 425 g" sheetId="112" r:id="rId8"/>
    <sheet name="Amsoil GPOR2CR - 425 g" sheetId="123" r:id="rId9"/>
    <sheet name="Amsoil GPTR1 397g " sheetId="126" r:id="rId10"/>
    <sheet name="Amsoil GPTR2 397g" sheetId="102" r:id="rId11"/>
    <sheet name="Amsoil GWRCR 397g" sheetId="151" r:id="rId12"/>
    <sheet name="Amsoil Multipurpose GLCCR 397g " sheetId="152" r:id="rId13"/>
    <sheet name="Amsoil XDP460- 397g " sheetId="127" r:id="rId14"/>
    <sheet name="Amsoil XDP680- 397g" sheetId="150" r:id="rId15"/>
    <sheet name="AwSUM (2231-2) 410g" sheetId="101" r:id="rId16"/>
    <sheet name="AwSUM (2231-2) 17 kg Pail" sheetId="137" r:id="rId17"/>
    <sheet name="AwSUM (2234-2) 400g" sheetId="144" r:id="rId18"/>
    <sheet name="AwSUM (2080-2) 4 kg Pail " sheetId="138" r:id="rId19"/>
    <sheet name="AwSUM (2080-2) 17 kg Pail  " sheetId="139" r:id="rId20"/>
    <sheet name="AwSUM 435g" sheetId="100" r:id="rId21"/>
    <sheet name="Blue Lith EP0 (black t-red cap)" sheetId="131" r:id="rId22"/>
    <sheet name="Comlube PM+ 2094 EP 1.5" sheetId="132" r:id="rId23"/>
    <sheet name="Comlube PM+ 2094 EP 1.5 keg" sheetId="147" r:id="rId24"/>
    <sheet name="Comlube PM+ 2094 EP 1.5 pail" sheetId="148" r:id="rId25"/>
    <sheet name="Day Distributing" sheetId="130" r:id="rId26"/>
    <sheet name="Generic tubes" sheetId="154" r:id="rId27"/>
    <sheet name="Godfather ASREDSS1.5" sheetId="175" r:id="rId28"/>
    <sheet name="Grote 12-pack" sheetId="128" r:id="rId29"/>
    <sheet name="Grote 12-pack Jars" sheetId="155" r:id="rId30"/>
    <sheet name="Grote 50-pack" sheetId="117" r:id="rId31"/>
    <sheet name="Hi Tek" sheetId="104" r:id="rId32"/>
    <sheet name="Hipertech 430g" sheetId="120" r:id="rId33"/>
    <sheet name="Hipertech APG-2 430g " sheetId="140" r:id="rId34"/>
    <sheet name="John Day 40 pack" sheetId="149" r:id="rId35"/>
    <sheet name="KleenOil PowerUp" sheetId="113" r:id="rId36"/>
    <sheet name="LMX-77 (60 pack)" sheetId="146" r:id="rId37"/>
    <sheet name="Lubri-Lab Inc" sheetId="153" r:id="rId38"/>
    <sheet name="Others" sheetId="133" r:id="rId39"/>
    <sheet name="PC 3 Moly 322" sheetId="114" r:id="rId40"/>
    <sheet name="PC LLG" sheetId="106" r:id="rId41"/>
    <sheet name="PC Precision Synthetic 220" sheetId="109" r:id="rId42"/>
    <sheet name="PC Purity FG2 MP" sheetId="186" r:id="rId43"/>
    <sheet name="PC Purity FG2 Syn " sheetId="119" r:id="rId44"/>
    <sheet name="PC Purity FG2 Syn Heavy 220" sheetId="125" r:id="rId45"/>
    <sheet name="PC OG0" sheetId="121" r:id="rId46"/>
    <sheet name="PC OG Plus" sheetId="122" r:id="rId47"/>
    <sheet name="PC OG1" sheetId="103" r:id="rId48"/>
    <sheet name="PC OG2" sheetId="98" r:id="rId49"/>
    <sheet name="PC OG2 Red" sheetId="107" r:id="rId50"/>
    <sheet name="PC XCG Flex" sheetId="118" r:id="rId51"/>
    <sheet name="Pro-Lub CHD 400" sheetId="111" r:id="rId52"/>
    <sheet name="Purge &amp; Lube" sheetId="136" r:id="rId53"/>
    <sheet name="Robco (60 pack)" sheetId="115" r:id="rId54"/>
    <sheet name="Robco (30 pack) " sheetId="129" r:id="rId55"/>
    <sheet name="Shell Ext" sheetId="94" r:id="rId56"/>
    <sheet name="Shell Moly" sheetId="105" r:id="rId57"/>
    <sheet name="TLS EMRO 505 - 400g " sheetId="173" r:id="rId58"/>
    <sheet name="TLS EMRO 500 - 400g" sheetId="143" r:id="rId59"/>
    <sheet name="VIP G-2193-2" sheetId="124" r:id="rId60"/>
    <sheet name="VIP G-2010-2" sheetId="141" r:id="rId6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6" i="107" l="1"/>
  <c r="D21" i="107"/>
  <c r="C21" i="107"/>
  <c r="B1" i="186"/>
  <c r="K15" i="114"/>
  <c r="J14" i="98"/>
  <c r="J15" i="98"/>
  <c r="G24" i="98"/>
  <c r="G23" i="98"/>
  <c r="J45" i="107"/>
  <c r="J48" i="107"/>
  <c r="J46" i="107"/>
  <c r="F47" i="107"/>
  <c r="G47" i="107"/>
  <c r="F48" i="107"/>
  <c r="G48" i="107" s="1"/>
  <c r="J47" i="107"/>
  <c r="D45" i="107"/>
  <c r="E15" i="107"/>
  <c r="F15" i="107" s="1"/>
  <c r="G15" i="107" s="1"/>
  <c r="J26" i="107" s="1"/>
  <c r="E16" i="107"/>
  <c r="F16" i="107" s="1"/>
  <c r="G16" i="107" s="1"/>
  <c r="J16" i="107" s="1"/>
  <c r="E17" i="107"/>
  <c r="F17" i="107"/>
  <c r="G17" i="107" s="1"/>
  <c r="J17" i="107" s="1"/>
  <c r="E18" i="107"/>
  <c r="F18" i="107"/>
  <c r="G18" i="107"/>
  <c r="E19" i="107"/>
  <c r="F19" i="107"/>
  <c r="G19" i="107" s="1"/>
  <c r="J19" i="107" s="1"/>
  <c r="E20" i="107"/>
  <c r="F20" i="107"/>
  <c r="G20" i="107" s="1"/>
  <c r="I21" i="107"/>
  <c r="H25" i="107"/>
  <c r="I25" i="107"/>
  <c r="I26" i="107"/>
  <c r="J27" i="107"/>
  <c r="F14" i="106"/>
  <c r="D13" i="106"/>
  <c r="C13" i="106"/>
  <c r="E14" i="119"/>
  <c r="F14" i="119" s="1"/>
  <c r="G14" i="119" s="1"/>
  <c r="J14" i="119" s="1"/>
  <c r="N18" i="104"/>
  <c r="L23" i="155"/>
  <c r="N14" i="128"/>
  <c r="N9" i="128"/>
  <c r="N8" i="128"/>
  <c r="M18" i="128"/>
  <c r="N12" i="128"/>
  <c r="L6" i="128"/>
  <c r="J6" i="128"/>
  <c r="I24" i="117"/>
  <c r="G13" i="128"/>
  <c r="F50" i="117"/>
  <c r="G50" i="117" s="1"/>
  <c r="J30" i="117"/>
  <c r="K93" i="117"/>
  <c r="J93" i="117"/>
  <c r="I93" i="117"/>
  <c r="H93" i="117"/>
  <c r="G93" i="117"/>
  <c r="K92" i="117"/>
  <c r="K94" i="117" s="1"/>
  <c r="J92" i="117"/>
  <c r="J94" i="117" s="1"/>
  <c r="I92" i="117"/>
  <c r="I94" i="117" s="1"/>
  <c r="H92" i="117"/>
  <c r="H94" i="117" s="1"/>
  <c r="J88" i="117"/>
  <c r="I88" i="117"/>
  <c r="H88" i="117"/>
  <c r="D88" i="117"/>
  <c r="C88" i="117"/>
  <c r="E87" i="117"/>
  <c r="F87" i="117" s="1"/>
  <c r="G87" i="117" s="1"/>
  <c r="K87" i="117" s="1"/>
  <c r="F86" i="117"/>
  <c r="G86" i="117" s="1"/>
  <c r="K86" i="117" s="1"/>
  <c r="E86" i="117"/>
  <c r="L85" i="117"/>
  <c r="E85" i="117"/>
  <c r="F85" i="117" s="1"/>
  <c r="G85" i="117" s="1"/>
  <c r="K85" i="117" s="1"/>
  <c r="E84" i="117"/>
  <c r="F84" i="117" s="1"/>
  <c r="G84" i="117" s="1"/>
  <c r="K84" i="117" s="1"/>
  <c r="E83" i="117"/>
  <c r="E88" i="117" s="1"/>
  <c r="E82" i="117"/>
  <c r="F82" i="117" s="1"/>
  <c r="B77" i="117"/>
  <c r="B70" i="117"/>
  <c r="B72" i="117" s="1"/>
  <c r="G61" i="117"/>
  <c r="G60" i="117"/>
  <c r="I62" i="117"/>
  <c r="K61" i="117"/>
  <c r="J61" i="117"/>
  <c r="I61" i="117"/>
  <c r="H61" i="117"/>
  <c r="K60" i="117"/>
  <c r="J60" i="117"/>
  <c r="J62" i="117" s="1"/>
  <c r="I60" i="117"/>
  <c r="H60" i="117"/>
  <c r="H62" i="117" s="1"/>
  <c r="I56" i="117"/>
  <c r="H56" i="117"/>
  <c r="D56" i="117"/>
  <c r="C56" i="117"/>
  <c r="B38" i="117" s="1"/>
  <c r="E55" i="117"/>
  <c r="F55" i="117" s="1"/>
  <c r="G55" i="117" s="1"/>
  <c r="K55" i="117" s="1"/>
  <c r="E54" i="117"/>
  <c r="F54" i="117" s="1"/>
  <c r="G54" i="117" s="1"/>
  <c r="K54" i="117" s="1"/>
  <c r="E53" i="117"/>
  <c r="F53" i="117" s="1"/>
  <c r="G53" i="117" s="1"/>
  <c r="K53" i="117" s="1"/>
  <c r="E52" i="117"/>
  <c r="F52" i="117" s="1"/>
  <c r="G52" i="117" s="1"/>
  <c r="K52" i="117" s="1"/>
  <c r="E51" i="117"/>
  <c r="F51" i="117" s="1"/>
  <c r="G51" i="117" s="1"/>
  <c r="E50" i="117"/>
  <c r="E56" i="117" s="1"/>
  <c r="E57" i="117" s="1"/>
  <c r="K14" i="155"/>
  <c r="H25" i="155"/>
  <c r="K24" i="155"/>
  <c r="J24" i="155"/>
  <c r="I24" i="155"/>
  <c r="H24" i="155"/>
  <c r="I25" i="155"/>
  <c r="H23" i="155"/>
  <c r="I19" i="155"/>
  <c r="H19" i="155"/>
  <c r="K18" i="155"/>
  <c r="K17" i="155"/>
  <c r="K16" i="155"/>
  <c r="K15" i="155"/>
  <c r="H19" i="128"/>
  <c r="I19" i="128"/>
  <c r="H23" i="128"/>
  <c r="H25" i="128" s="1"/>
  <c r="I23" i="128"/>
  <c r="H24" i="128"/>
  <c r="I24" i="128"/>
  <c r="J24" i="128"/>
  <c r="K24" i="128"/>
  <c r="K18" i="128"/>
  <c r="K17" i="128"/>
  <c r="K16" i="128"/>
  <c r="K15" i="128"/>
  <c r="I28" i="117"/>
  <c r="J28" i="117"/>
  <c r="I29" i="117"/>
  <c r="J29" i="117"/>
  <c r="K29" i="117"/>
  <c r="J24" i="117"/>
  <c r="E19" i="117"/>
  <c r="F19" i="117" s="1"/>
  <c r="G19" i="117" s="1"/>
  <c r="K19" i="117" s="1"/>
  <c r="J50" i="117" s="1"/>
  <c r="J56" i="117" s="1"/>
  <c r="E18" i="117"/>
  <c r="F18" i="117" s="1"/>
  <c r="G18" i="117" s="1"/>
  <c r="K18" i="117" s="1"/>
  <c r="I14" i="188"/>
  <c r="I23" i="188" s="1"/>
  <c r="G14" i="188"/>
  <c r="J24" i="188"/>
  <c r="I24" i="188"/>
  <c r="H24" i="188"/>
  <c r="G24" i="188"/>
  <c r="H23" i="188"/>
  <c r="D19" i="188"/>
  <c r="C19" i="188"/>
  <c r="B1" i="188" s="1"/>
  <c r="B3" i="188" s="1"/>
  <c r="E18" i="188"/>
  <c r="F18" i="188" s="1"/>
  <c r="G18" i="188" s="1"/>
  <c r="J18" i="188" s="1"/>
  <c r="E17" i="188"/>
  <c r="F17" i="188" s="1"/>
  <c r="G17" i="188" s="1"/>
  <c r="J17" i="188" s="1"/>
  <c r="E16" i="188"/>
  <c r="F16" i="188" s="1"/>
  <c r="G16" i="188" s="1"/>
  <c r="J16" i="188" s="1"/>
  <c r="E15" i="188"/>
  <c r="E14" i="188"/>
  <c r="F14" i="188" s="1"/>
  <c r="E13" i="188"/>
  <c r="F13" i="188" s="1"/>
  <c r="G13" i="188" s="1"/>
  <c r="H19" i="98"/>
  <c r="J15" i="107" l="1"/>
  <c r="H21" i="107"/>
  <c r="E14" i="107"/>
  <c r="E13" i="107"/>
  <c r="F13" i="107" s="1"/>
  <c r="G13" i="107" s="1"/>
  <c r="H27" i="107"/>
  <c r="I27" i="107"/>
  <c r="B1" i="107"/>
  <c r="B3" i="107" s="1"/>
  <c r="F2" i="107" s="1"/>
  <c r="F14" i="107"/>
  <c r="G14" i="107" s="1"/>
  <c r="J14" i="107" s="1"/>
  <c r="I25" i="128"/>
  <c r="I30" i="117"/>
  <c r="J13" i="128"/>
  <c r="K62" i="117"/>
  <c r="K50" i="117"/>
  <c r="B76" i="117"/>
  <c r="B78" i="117" s="1"/>
  <c r="F70" i="117"/>
  <c r="F71" i="117" s="1"/>
  <c r="G82" i="117"/>
  <c r="E89" i="117"/>
  <c r="F83" i="117"/>
  <c r="G83" i="117" s="1"/>
  <c r="G62" i="117"/>
  <c r="B40" i="117"/>
  <c r="F39" i="117" s="1"/>
  <c r="B42" i="117"/>
  <c r="K28" i="117"/>
  <c r="J14" i="188"/>
  <c r="H25" i="188"/>
  <c r="I25" i="188"/>
  <c r="E19" i="188"/>
  <c r="E20" i="188" s="1"/>
  <c r="B5" i="188"/>
  <c r="B7" i="188" s="1"/>
  <c r="B9" i="188" s="1"/>
  <c r="F2" i="188"/>
  <c r="F15" i="188"/>
  <c r="G15" i="188" s="1"/>
  <c r="J15" i="188" s="1"/>
  <c r="H14" i="103"/>
  <c r="D14" i="103"/>
  <c r="H24" i="117"/>
  <c r="E50" i="107"/>
  <c r="F50" i="107" s="1"/>
  <c r="G50" i="107" s="1"/>
  <c r="E49" i="107"/>
  <c r="F49" i="107" s="1"/>
  <c r="G49" i="107" s="1"/>
  <c r="J49" i="107" s="1"/>
  <c r="I56" i="107"/>
  <c r="H56" i="107"/>
  <c r="I55" i="107"/>
  <c r="H55" i="107"/>
  <c r="H51" i="107"/>
  <c r="E47" i="107"/>
  <c r="G46" i="107" s="1"/>
  <c r="E46" i="107"/>
  <c r="D51" i="107"/>
  <c r="J13" i="102"/>
  <c r="J14" i="102"/>
  <c r="J13" i="148"/>
  <c r="E13" i="102"/>
  <c r="F13" i="102" s="1"/>
  <c r="G13" i="102" s="1"/>
  <c r="E14" i="102"/>
  <c r="F14" i="102" s="1"/>
  <c r="G14" i="102" s="1"/>
  <c r="E15" i="102"/>
  <c r="F15" i="102"/>
  <c r="G15" i="102"/>
  <c r="E16" i="102"/>
  <c r="F16" i="102"/>
  <c r="G16" i="102"/>
  <c r="E17" i="102"/>
  <c r="F17" i="102"/>
  <c r="G17" i="102"/>
  <c r="E18" i="102"/>
  <c r="F18" i="102"/>
  <c r="G18" i="102" s="1"/>
  <c r="C19" i="102"/>
  <c r="D19" i="102"/>
  <c r="H23" i="102"/>
  <c r="I23" i="102"/>
  <c r="G24" i="102"/>
  <c r="H24" i="102"/>
  <c r="I24" i="102"/>
  <c r="J24" i="102"/>
  <c r="J24" i="187"/>
  <c r="I24" i="187"/>
  <c r="H24" i="187"/>
  <c r="G24" i="187"/>
  <c r="I23" i="187"/>
  <c r="H23" i="187"/>
  <c r="H25" i="187" s="1"/>
  <c r="I19" i="187"/>
  <c r="H19" i="187"/>
  <c r="D19" i="187"/>
  <c r="C19" i="187"/>
  <c r="E18" i="187"/>
  <c r="G18" i="187" s="1"/>
  <c r="E17" i="187"/>
  <c r="G17" i="187" s="1"/>
  <c r="J17" i="187" s="1"/>
  <c r="E16" i="187"/>
  <c r="G16" i="187" s="1"/>
  <c r="J16" i="187" s="1"/>
  <c r="E15" i="187"/>
  <c r="G15" i="187" s="1"/>
  <c r="E14" i="187"/>
  <c r="G14" i="187" s="1"/>
  <c r="E13" i="187"/>
  <c r="B7" i="187" s="1"/>
  <c r="B9" i="187" s="1"/>
  <c r="I24" i="186"/>
  <c r="H24" i="186"/>
  <c r="I23" i="186"/>
  <c r="I25" i="186" s="1"/>
  <c r="H23" i="186"/>
  <c r="H25" i="186" s="1"/>
  <c r="I19" i="186"/>
  <c r="H19" i="186"/>
  <c r="D19" i="186"/>
  <c r="C19" i="186"/>
  <c r="B3" i="186" s="1"/>
  <c r="F18" i="186"/>
  <c r="G18" i="186" s="1"/>
  <c r="J18" i="186" s="1"/>
  <c r="E18" i="186"/>
  <c r="F17" i="186"/>
  <c r="G17" i="186" s="1"/>
  <c r="J17" i="186" s="1"/>
  <c r="E17" i="186"/>
  <c r="E16" i="186"/>
  <c r="F16" i="186" s="1"/>
  <c r="G16" i="186" s="1"/>
  <c r="J16" i="186" s="1"/>
  <c r="E15" i="186"/>
  <c r="F15" i="186" s="1"/>
  <c r="G15" i="186" s="1"/>
  <c r="J15" i="186" s="1"/>
  <c r="E14" i="186"/>
  <c r="F14" i="186" s="1"/>
  <c r="G14" i="186" s="1"/>
  <c r="E13" i="186"/>
  <c r="E19" i="186" s="1"/>
  <c r="E20" i="186" s="1"/>
  <c r="I18" i="106"/>
  <c r="E13" i="128"/>
  <c r="F13" i="128" s="1"/>
  <c r="J14" i="124"/>
  <c r="J15" i="124"/>
  <c r="I23" i="106"/>
  <c r="I22" i="106"/>
  <c r="H23" i="106"/>
  <c r="H22" i="106"/>
  <c r="G26" i="107" l="1"/>
  <c r="E21" i="107"/>
  <c r="E22" i="107" s="1"/>
  <c r="B5" i="107"/>
  <c r="B7" i="107" s="1"/>
  <c r="B9" i="107" s="1"/>
  <c r="F21" i="107"/>
  <c r="J13" i="107"/>
  <c r="G25" i="107"/>
  <c r="G27" i="107" s="1"/>
  <c r="G21" i="107"/>
  <c r="J19" i="128"/>
  <c r="J23" i="128"/>
  <c r="J25" i="128" s="1"/>
  <c r="K13" i="128"/>
  <c r="K83" i="117"/>
  <c r="L84" i="117" s="1"/>
  <c r="G92" i="117"/>
  <c r="G94" i="117" s="1"/>
  <c r="F88" i="117"/>
  <c r="G88" i="117"/>
  <c r="K82" i="117"/>
  <c r="K88" i="117" s="1"/>
  <c r="F56" i="117"/>
  <c r="F40" i="117"/>
  <c r="B44" i="117"/>
  <c r="B46" i="117" s="1"/>
  <c r="F19" i="188"/>
  <c r="J13" i="188"/>
  <c r="G23" i="188"/>
  <c r="G25" i="188" s="1"/>
  <c r="G19" i="188"/>
  <c r="I57" i="107"/>
  <c r="J50" i="107"/>
  <c r="J57" i="107" s="1"/>
  <c r="E45" i="107"/>
  <c r="F45" i="107" s="1"/>
  <c r="H57" i="107"/>
  <c r="C51" i="107"/>
  <c r="B33" i="107" s="1"/>
  <c r="B35" i="107" s="1"/>
  <c r="B37" i="107" s="1"/>
  <c r="I25" i="102"/>
  <c r="J23" i="102"/>
  <c r="J25" i="102" s="1"/>
  <c r="G23" i="102"/>
  <c r="G25" i="102" s="1"/>
  <c r="F19" i="102"/>
  <c r="E19" i="102"/>
  <c r="E20" i="102" s="1"/>
  <c r="B1" i="102"/>
  <c r="B3" i="102" s="1"/>
  <c r="F2" i="102" s="1"/>
  <c r="H25" i="102"/>
  <c r="G19" i="102"/>
  <c r="G13" i="187"/>
  <c r="J13" i="187" s="1"/>
  <c r="I25" i="187"/>
  <c r="B1" i="187"/>
  <c r="B3" i="187" s="1"/>
  <c r="F2" i="187"/>
  <c r="B5" i="187"/>
  <c r="E19" i="187"/>
  <c r="E20" i="187" s="1"/>
  <c r="F2" i="186"/>
  <c r="B5" i="186"/>
  <c r="B7" i="186" s="1"/>
  <c r="B9" i="186" s="1"/>
  <c r="J14" i="186"/>
  <c r="F13" i="186"/>
  <c r="E15" i="98"/>
  <c r="F15" i="98" s="1"/>
  <c r="G15" i="98" s="1"/>
  <c r="E15" i="123"/>
  <c r="F15" i="123"/>
  <c r="G15" i="123"/>
  <c r="J15" i="123" s="1"/>
  <c r="E16" i="123"/>
  <c r="F16" i="123" s="1"/>
  <c r="G16" i="123" s="1"/>
  <c r="J16" i="123" s="1"/>
  <c r="E13" i="152"/>
  <c r="B3" i="152"/>
  <c r="E7" i="152"/>
  <c r="C37" i="107" l="1"/>
  <c r="B39" i="107"/>
  <c r="C39" i="107" s="1"/>
  <c r="J25" i="107"/>
  <c r="J21" i="107"/>
  <c r="J56" i="107"/>
  <c r="K19" i="128"/>
  <c r="J13" i="155"/>
  <c r="K23" i="128"/>
  <c r="K25" i="128" s="1"/>
  <c r="G56" i="117"/>
  <c r="K56" i="117"/>
  <c r="J23" i="188"/>
  <c r="J25" i="188" s="1"/>
  <c r="J20" i="188"/>
  <c r="E51" i="107"/>
  <c r="E52" i="107" s="1"/>
  <c r="G45" i="107"/>
  <c r="G55" i="107" s="1"/>
  <c r="F51" i="107"/>
  <c r="B5" i="102"/>
  <c r="B7" i="102" s="1"/>
  <c r="B9" i="102" s="1"/>
  <c r="G19" i="187"/>
  <c r="J23" i="187"/>
  <c r="J25" i="187" s="1"/>
  <c r="G23" i="187"/>
  <c r="G25" i="187" s="1"/>
  <c r="G13" i="186"/>
  <c r="G23" i="186" s="1"/>
  <c r="F19" i="186"/>
  <c r="J55" i="94"/>
  <c r="J54" i="94"/>
  <c r="H55" i="94"/>
  <c r="H54" i="94"/>
  <c r="I55" i="94"/>
  <c r="I54" i="94"/>
  <c r="J13" i="175"/>
  <c r="F2" i="175"/>
  <c r="B7" i="175"/>
  <c r="F13" i="175"/>
  <c r="E13" i="175"/>
  <c r="B5" i="175"/>
  <c r="D13" i="175"/>
  <c r="J24" i="175"/>
  <c r="I24" i="175"/>
  <c r="H24" i="175"/>
  <c r="G24" i="175"/>
  <c r="I23" i="175"/>
  <c r="I25" i="175" s="1"/>
  <c r="H23" i="175"/>
  <c r="H25" i="175" s="1"/>
  <c r="D19" i="175"/>
  <c r="C19" i="175"/>
  <c r="E18" i="175"/>
  <c r="F18" i="175" s="1"/>
  <c r="G18" i="175" s="1"/>
  <c r="J18" i="175" s="1"/>
  <c r="E17" i="175"/>
  <c r="F17" i="175" s="1"/>
  <c r="G17" i="175" s="1"/>
  <c r="J17" i="175" s="1"/>
  <c r="E16" i="175"/>
  <c r="F16" i="175" s="1"/>
  <c r="G16" i="175" s="1"/>
  <c r="J16" i="175" s="1"/>
  <c r="E15" i="175"/>
  <c r="F15" i="175" s="1"/>
  <c r="G15" i="175" s="1"/>
  <c r="J15" i="175" s="1"/>
  <c r="E14" i="175"/>
  <c r="F14" i="175" s="1"/>
  <c r="G14" i="175" s="1"/>
  <c r="J14" i="175" s="1"/>
  <c r="B3" i="132"/>
  <c r="G19" i="132"/>
  <c r="D14" i="132"/>
  <c r="J15" i="173"/>
  <c r="J14" i="173"/>
  <c r="J24" i="173"/>
  <c r="I24" i="173"/>
  <c r="H24" i="173"/>
  <c r="G24" i="173"/>
  <c r="I23" i="173"/>
  <c r="H23" i="173"/>
  <c r="H25" i="173" s="1"/>
  <c r="I19" i="173"/>
  <c r="H19" i="173"/>
  <c r="D19" i="173"/>
  <c r="C19" i="173"/>
  <c r="E18" i="173"/>
  <c r="F18" i="173" s="1"/>
  <c r="G18" i="173" s="1"/>
  <c r="E17" i="173"/>
  <c r="F17" i="173" s="1"/>
  <c r="G17" i="173" s="1"/>
  <c r="G16" i="173"/>
  <c r="F16" i="173"/>
  <c r="E16" i="173"/>
  <c r="E15" i="173"/>
  <c r="F15" i="173" s="1"/>
  <c r="G15" i="173" s="1"/>
  <c r="E14" i="173"/>
  <c r="F14" i="173" s="1"/>
  <c r="G14" i="173" s="1"/>
  <c r="E13" i="173"/>
  <c r="E19" i="173" s="1"/>
  <c r="E20" i="173" s="1"/>
  <c r="F13" i="134"/>
  <c r="B5" i="134"/>
  <c r="E13" i="119"/>
  <c r="F13" i="119" s="1"/>
  <c r="G13" i="119" s="1"/>
  <c r="H18" i="106"/>
  <c r="E80" i="107"/>
  <c r="F80" i="107" s="1"/>
  <c r="G80" i="107" s="1"/>
  <c r="I23" i="109"/>
  <c r="E75" i="107"/>
  <c r="H85" i="107"/>
  <c r="I85" i="107"/>
  <c r="H86" i="107"/>
  <c r="I86" i="107"/>
  <c r="G86" i="107"/>
  <c r="G85" i="107"/>
  <c r="D81" i="107"/>
  <c r="E15" i="114"/>
  <c r="G15" i="114" s="1"/>
  <c r="J15" i="114" s="1"/>
  <c r="E18" i="152"/>
  <c r="F18" i="152" s="1"/>
  <c r="G18" i="152" s="1"/>
  <c r="E17" i="152"/>
  <c r="F17" i="152" s="1"/>
  <c r="G17" i="152" s="1"/>
  <c r="J17" i="152" s="1"/>
  <c r="E16" i="152"/>
  <c r="F16" i="152" s="1"/>
  <c r="G16" i="152" s="1"/>
  <c r="J16" i="152" s="1"/>
  <c r="E15" i="152"/>
  <c r="F15" i="152" s="1"/>
  <c r="G15" i="152" s="1"/>
  <c r="J15" i="152" s="1"/>
  <c r="E14" i="152"/>
  <c r="F14" i="152" s="1"/>
  <c r="G14" i="152" s="1"/>
  <c r="J14" i="152" s="1"/>
  <c r="F13" i="152"/>
  <c r="G13" i="152" s="1"/>
  <c r="J13" i="152" s="1"/>
  <c r="I23" i="151"/>
  <c r="H23" i="151"/>
  <c r="G24" i="151"/>
  <c r="B41" i="107" l="1"/>
  <c r="K13" i="155"/>
  <c r="J19" i="155"/>
  <c r="J23" i="155"/>
  <c r="J25" i="155" s="1"/>
  <c r="G56" i="107"/>
  <c r="G57" i="107" s="1"/>
  <c r="G51" i="107"/>
  <c r="G24" i="186"/>
  <c r="G25" i="186" s="1"/>
  <c r="G19" i="186"/>
  <c r="J13" i="186"/>
  <c r="J23" i="186" s="1"/>
  <c r="B1" i="175"/>
  <c r="E19" i="175"/>
  <c r="E20" i="175" s="1"/>
  <c r="F19" i="175"/>
  <c r="I25" i="173"/>
  <c r="B1" i="173"/>
  <c r="B3" i="173" s="1"/>
  <c r="B5" i="173"/>
  <c r="B7" i="173" s="1"/>
  <c r="B9" i="173" s="1"/>
  <c r="F2" i="173"/>
  <c r="F13" i="173"/>
  <c r="B8" i="155"/>
  <c r="G24" i="155"/>
  <c r="D19" i="155"/>
  <c r="C19" i="155"/>
  <c r="E18" i="155"/>
  <c r="F18" i="155" s="1"/>
  <c r="E17" i="155"/>
  <c r="F17" i="155" s="1"/>
  <c r="G17" i="155" s="1"/>
  <c r="E16" i="155"/>
  <c r="F16" i="155" s="1"/>
  <c r="G16" i="155" s="1"/>
  <c r="E15" i="155"/>
  <c r="F15" i="155" s="1"/>
  <c r="G15" i="155" s="1"/>
  <c r="E14" i="155"/>
  <c r="E13" i="155"/>
  <c r="F13" i="155" s="1"/>
  <c r="I19" i="98"/>
  <c r="I13" i="154"/>
  <c r="D13" i="154"/>
  <c r="J24" i="154"/>
  <c r="I24" i="154"/>
  <c r="H24" i="154"/>
  <c r="G24" i="154"/>
  <c r="I23" i="154"/>
  <c r="H23" i="154"/>
  <c r="D19" i="154"/>
  <c r="B5" i="154" s="1"/>
  <c r="F2" i="154" s="1"/>
  <c r="C19" i="154"/>
  <c r="E18" i="154"/>
  <c r="F18" i="154" s="1"/>
  <c r="G18" i="154" s="1"/>
  <c r="J18" i="154" s="1"/>
  <c r="E17" i="154"/>
  <c r="F17" i="154" s="1"/>
  <c r="G17" i="154" s="1"/>
  <c r="J17" i="154" s="1"/>
  <c r="E16" i="154"/>
  <c r="F16" i="154" s="1"/>
  <c r="G16" i="154" s="1"/>
  <c r="J16" i="154" s="1"/>
  <c r="E15" i="154"/>
  <c r="F15" i="154" s="1"/>
  <c r="G15" i="154" s="1"/>
  <c r="J15" i="154" s="1"/>
  <c r="G14" i="154"/>
  <c r="J14" i="154" s="1"/>
  <c r="E14" i="154"/>
  <c r="E13" i="154"/>
  <c r="F13" i="154" s="1"/>
  <c r="G13" i="154" s="1"/>
  <c r="E14" i="94"/>
  <c r="H19" i="94"/>
  <c r="D19" i="119"/>
  <c r="H50" i="94"/>
  <c r="E49" i="94"/>
  <c r="F49" i="94" s="1"/>
  <c r="G49" i="94" s="1"/>
  <c r="E48" i="94"/>
  <c r="F48" i="94" s="1"/>
  <c r="G48" i="94" s="1"/>
  <c r="E47" i="94"/>
  <c r="F47" i="94" s="1"/>
  <c r="G47" i="94" s="1"/>
  <c r="E46" i="94"/>
  <c r="F46" i="94" s="1"/>
  <c r="G46" i="94" s="1"/>
  <c r="E45" i="94"/>
  <c r="F45" i="94" s="1"/>
  <c r="G45" i="94" s="1"/>
  <c r="D50" i="94"/>
  <c r="C50" i="94"/>
  <c r="M22" i="153"/>
  <c r="I24" i="153"/>
  <c r="H24" i="153"/>
  <c r="G24" i="153"/>
  <c r="I23" i="153"/>
  <c r="I25" i="153" s="1"/>
  <c r="H23" i="153"/>
  <c r="H25" i="153" s="1"/>
  <c r="D19" i="153"/>
  <c r="C19" i="153"/>
  <c r="E18" i="153"/>
  <c r="F18" i="153" s="1"/>
  <c r="G18" i="153" s="1"/>
  <c r="J18" i="153" s="1"/>
  <c r="E17" i="153"/>
  <c r="F17" i="153" s="1"/>
  <c r="G17" i="153" s="1"/>
  <c r="J17" i="153" s="1"/>
  <c r="E16" i="153"/>
  <c r="F16" i="153" s="1"/>
  <c r="G16" i="153" s="1"/>
  <c r="J16" i="153" s="1"/>
  <c r="E15" i="153"/>
  <c r="F15" i="153" s="1"/>
  <c r="G15" i="153" s="1"/>
  <c r="E14" i="153"/>
  <c r="F14" i="153" s="1"/>
  <c r="G14" i="153" s="1"/>
  <c r="E13" i="153"/>
  <c r="F13" i="153" s="1"/>
  <c r="I19" i="151"/>
  <c r="H23" i="152"/>
  <c r="J24" i="152"/>
  <c r="I24" i="152"/>
  <c r="I23" i="152"/>
  <c r="I19" i="152"/>
  <c r="H19" i="152"/>
  <c r="H24" i="152"/>
  <c r="G24" i="152"/>
  <c r="C19" i="152"/>
  <c r="D19" i="152"/>
  <c r="H19" i="151"/>
  <c r="D19" i="151"/>
  <c r="I24" i="151"/>
  <c r="H24" i="151"/>
  <c r="C19" i="151"/>
  <c r="E13" i="151"/>
  <c r="F13" i="151" s="1"/>
  <c r="G13" i="151" s="1"/>
  <c r="O6" i="151"/>
  <c r="I81" i="107"/>
  <c r="H81" i="107"/>
  <c r="C81" i="107"/>
  <c r="H19" i="103"/>
  <c r="I19" i="103"/>
  <c r="J24" i="150"/>
  <c r="I24" i="150"/>
  <c r="H24" i="150"/>
  <c r="G24" i="150"/>
  <c r="I23" i="150"/>
  <c r="I25" i="150" s="1"/>
  <c r="H23" i="150"/>
  <c r="D19" i="150"/>
  <c r="C19" i="150"/>
  <c r="B1" i="150" s="1"/>
  <c r="B3" i="150" s="1"/>
  <c r="E18" i="150"/>
  <c r="F18" i="150" s="1"/>
  <c r="G18" i="150" s="1"/>
  <c r="J18" i="150" s="1"/>
  <c r="E17" i="150"/>
  <c r="F17" i="150" s="1"/>
  <c r="G17" i="150" s="1"/>
  <c r="J17" i="150" s="1"/>
  <c r="E16" i="150"/>
  <c r="F16" i="150" s="1"/>
  <c r="G16" i="150" s="1"/>
  <c r="J16" i="150" s="1"/>
  <c r="E15" i="150"/>
  <c r="F15" i="150" s="1"/>
  <c r="G15" i="150" s="1"/>
  <c r="E14" i="150"/>
  <c r="G14" i="150" s="1"/>
  <c r="J14" i="150" s="1"/>
  <c r="E13" i="150"/>
  <c r="F13" i="150" s="1"/>
  <c r="J24" i="149"/>
  <c r="I24" i="149"/>
  <c r="H24" i="149"/>
  <c r="G24" i="149"/>
  <c r="I23" i="149"/>
  <c r="H23" i="149"/>
  <c r="H25" i="149" s="1"/>
  <c r="D19" i="149"/>
  <c r="C19" i="149"/>
  <c r="E18" i="149"/>
  <c r="F18" i="149" s="1"/>
  <c r="G18" i="149" s="1"/>
  <c r="J18" i="149" s="1"/>
  <c r="E17" i="149"/>
  <c r="F17" i="149" s="1"/>
  <c r="G17" i="149" s="1"/>
  <c r="J17" i="149" s="1"/>
  <c r="E16" i="149"/>
  <c r="F16" i="149" s="1"/>
  <c r="G16" i="149" s="1"/>
  <c r="J16" i="149" s="1"/>
  <c r="E15" i="149"/>
  <c r="F15" i="149" s="1"/>
  <c r="G15" i="149" s="1"/>
  <c r="J15" i="149" s="1"/>
  <c r="E14" i="149"/>
  <c r="F14" i="149" s="1"/>
  <c r="G14" i="149" s="1"/>
  <c r="J14" i="149" s="1"/>
  <c r="E13" i="149"/>
  <c r="F13" i="149" s="1"/>
  <c r="B1" i="149"/>
  <c r="B3" i="149" s="1"/>
  <c r="I24" i="148"/>
  <c r="H24" i="148"/>
  <c r="I23" i="148"/>
  <c r="H23" i="148"/>
  <c r="G23" i="148"/>
  <c r="D19" i="148"/>
  <c r="B7" i="148" s="1"/>
  <c r="B9" i="148" s="1"/>
  <c r="C19" i="148"/>
  <c r="B1" i="148" s="1"/>
  <c r="E18" i="148"/>
  <c r="F18" i="148" s="1"/>
  <c r="G18" i="148" s="1"/>
  <c r="J18" i="148" s="1"/>
  <c r="E17" i="148"/>
  <c r="F17" i="148" s="1"/>
  <c r="G17" i="148" s="1"/>
  <c r="J17" i="148" s="1"/>
  <c r="E16" i="148"/>
  <c r="F16" i="148" s="1"/>
  <c r="G16" i="148" s="1"/>
  <c r="J16" i="148" s="1"/>
  <c r="E15" i="148"/>
  <c r="F15" i="148" s="1"/>
  <c r="G13" i="148"/>
  <c r="G24" i="148" s="1"/>
  <c r="E13" i="148"/>
  <c r="E19" i="148" s="1"/>
  <c r="E20" i="148" s="1"/>
  <c r="F2" i="148"/>
  <c r="B7" i="147"/>
  <c r="B9" i="147" s="1"/>
  <c r="G14" i="147"/>
  <c r="J14" i="147" s="1"/>
  <c r="E14" i="147"/>
  <c r="I24" i="147"/>
  <c r="H24" i="147"/>
  <c r="I23" i="147"/>
  <c r="H23" i="147"/>
  <c r="D19" i="147"/>
  <c r="C19" i="147"/>
  <c r="E18" i="147"/>
  <c r="F18" i="147" s="1"/>
  <c r="G18" i="147" s="1"/>
  <c r="J18" i="147" s="1"/>
  <c r="E17" i="147"/>
  <c r="F17" i="147" s="1"/>
  <c r="G17" i="147" s="1"/>
  <c r="J17" i="147" s="1"/>
  <c r="E16" i="147"/>
  <c r="F16" i="147" s="1"/>
  <c r="G16" i="147" s="1"/>
  <c r="J16" i="147" s="1"/>
  <c r="E15" i="147"/>
  <c r="F15" i="147" s="1"/>
  <c r="G15" i="147" s="1"/>
  <c r="J15" i="147" s="1"/>
  <c r="E13" i="147"/>
  <c r="I24" i="146"/>
  <c r="H24" i="146"/>
  <c r="G24" i="146"/>
  <c r="I23" i="146"/>
  <c r="H23" i="146"/>
  <c r="H25" i="146" s="1"/>
  <c r="D19" i="146"/>
  <c r="C19" i="146"/>
  <c r="B1" i="146" s="1"/>
  <c r="B3" i="146" s="1"/>
  <c r="E18" i="146"/>
  <c r="F18" i="146" s="1"/>
  <c r="G18" i="146" s="1"/>
  <c r="J18" i="146" s="1"/>
  <c r="E17" i="146"/>
  <c r="F17" i="146" s="1"/>
  <c r="G17" i="146" s="1"/>
  <c r="J17" i="146" s="1"/>
  <c r="E16" i="146"/>
  <c r="F16" i="146" s="1"/>
  <c r="G16" i="146" s="1"/>
  <c r="E15" i="146"/>
  <c r="F15" i="146" s="1"/>
  <c r="G15" i="146" s="1"/>
  <c r="E14" i="146"/>
  <c r="F14" i="146" s="1"/>
  <c r="G14" i="146" s="1"/>
  <c r="E13" i="146"/>
  <c r="E15" i="119"/>
  <c r="F15" i="119" s="1"/>
  <c r="G15" i="119" s="1"/>
  <c r="J15" i="119" s="1"/>
  <c r="E16" i="119"/>
  <c r="F16" i="119" s="1"/>
  <c r="G16" i="119" s="1"/>
  <c r="J16" i="119" s="1"/>
  <c r="E17" i="119"/>
  <c r="F17" i="119" s="1"/>
  <c r="G17" i="119" s="1"/>
  <c r="J17" i="119" s="1"/>
  <c r="E18" i="119"/>
  <c r="F18" i="119" s="1"/>
  <c r="G18" i="119" s="1"/>
  <c r="J18" i="119" s="1"/>
  <c r="C19" i="119"/>
  <c r="B1" i="119" s="1"/>
  <c r="B3" i="119" s="1"/>
  <c r="B5" i="119" s="1"/>
  <c r="B7" i="119" s="1"/>
  <c r="B9" i="119" s="1"/>
  <c r="H19" i="119"/>
  <c r="I19" i="119"/>
  <c r="H23" i="119"/>
  <c r="I23" i="119"/>
  <c r="H24" i="119"/>
  <c r="I24" i="119"/>
  <c r="H19" i="125"/>
  <c r="I19" i="125"/>
  <c r="E79" i="107"/>
  <c r="F79" i="107" s="1"/>
  <c r="G79" i="107" s="1"/>
  <c r="J79" i="107" s="1"/>
  <c r="J80" i="107" s="1"/>
  <c r="E78" i="107"/>
  <c r="F78" i="107" s="1"/>
  <c r="G78" i="107" s="1"/>
  <c r="J78" i="107" s="1"/>
  <c r="E76" i="107"/>
  <c r="F76" i="107" s="1"/>
  <c r="G76" i="107" s="1"/>
  <c r="J76" i="107" s="1"/>
  <c r="F5" i="105"/>
  <c r="J24" i="145"/>
  <c r="I24" i="145"/>
  <c r="H24" i="145"/>
  <c r="G24" i="145"/>
  <c r="I23" i="145"/>
  <c r="H23" i="145"/>
  <c r="D19" i="145"/>
  <c r="B1" i="145" s="1"/>
  <c r="B3" i="145" s="1"/>
  <c r="C19" i="145"/>
  <c r="E18" i="145"/>
  <c r="F18" i="145" s="1"/>
  <c r="G18" i="145" s="1"/>
  <c r="J18" i="145" s="1"/>
  <c r="E17" i="145"/>
  <c r="F17" i="145" s="1"/>
  <c r="G17" i="145" s="1"/>
  <c r="J17" i="145" s="1"/>
  <c r="E16" i="145"/>
  <c r="F16" i="145" s="1"/>
  <c r="G16" i="145" s="1"/>
  <c r="J16" i="145" s="1"/>
  <c r="E15" i="145"/>
  <c r="F15" i="145" s="1"/>
  <c r="G15" i="145" s="1"/>
  <c r="J15" i="145" s="1"/>
  <c r="E14" i="145"/>
  <c r="F14" i="145" s="1"/>
  <c r="G14" i="145" s="1"/>
  <c r="J14" i="145" s="1"/>
  <c r="E13" i="145"/>
  <c r="F13" i="145" s="1"/>
  <c r="E13" i="144"/>
  <c r="F13" i="144" s="1"/>
  <c r="G23" i="144"/>
  <c r="J23" i="144"/>
  <c r="I23" i="144"/>
  <c r="H23" i="144"/>
  <c r="J22" i="144"/>
  <c r="I22" i="144"/>
  <c r="H22" i="144"/>
  <c r="I18" i="144"/>
  <c r="H18" i="144"/>
  <c r="D18" i="144"/>
  <c r="C18" i="144"/>
  <c r="B1" i="144" s="1"/>
  <c r="B3" i="144" s="1"/>
  <c r="E17" i="144"/>
  <c r="F17" i="144" s="1"/>
  <c r="G17" i="144" s="1"/>
  <c r="J17" i="144" s="1"/>
  <c r="E16" i="144"/>
  <c r="F16" i="144" s="1"/>
  <c r="G16" i="144" s="1"/>
  <c r="J16" i="144" s="1"/>
  <c r="E15" i="144"/>
  <c r="F15" i="144" s="1"/>
  <c r="G15" i="144" s="1"/>
  <c r="J15" i="144" s="1"/>
  <c r="E14" i="144"/>
  <c r="F14" i="144" s="1"/>
  <c r="G14" i="144" s="1"/>
  <c r="J14" i="144" s="1"/>
  <c r="K6" i="143"/>
  <c r="H19" i="143"/>
  <c r="I19" i="143"/>
  <c r="J24" i="143"/>
  <c r="I24" i="143"/>
  <c r="H24" i="143"/>
  <c r="I23" i="143"/>
  <c r="I25" i="143" s="1"/>
  <c r="H23" i="143"/>
  <c r="H25" i="143" s="1"/>
  <c r="D19" i="143"/>
  <c r="C19" i="143"/>
  <c r="E18" i="143"/>
  <c r="F18" i="143" s="1"/>
  <c r="G18" i="143" s="1"/>
  <c r="E17" i="143"/>
  <c r="F17" i="143" s="1"/>
  <c r="G17" i="143" s="1"/>
  <c r="E16" i="143"/>
  <c r="F16" i="143" s="1"/>
  <c r="G16" i="143" s="1"/>
  <c r="E15" i="143"/>
  <c r="F15" i="143" s="1"/>
  <c r="G15" i="143" s="1"/>
  <c r="E14" i="143"/>
  <c r="F14" i="143" s="1"/>
  <c r="G14" i="143" s="1"/>
  <c r="J14" i="143" s="1"/>
  <c r="E13" i="143"/>
  <c r="I19" i="94"/>
  <c r="J55" i="107" l="1"/>
  <c r="K23" i="155"/>
  <c r="K25" i="155" s="1"/>
  <c r="K19" i="155"/>
  <c r="J19" i="186"/>
  <c r="J24" i="186"/>
  <c r="J25" i="186" s="1"/>
  <c r="G13" i="175"/>
  <c r="G23" i="175" s="1"/>
  <c r="G25" i="175" s="1"/>
  <c r="B9" i="175"/>
  <c r="G19" i="175"/>
  <c r="J23" i="175"/>
  <c r="J25" i="175" s="1"/>
  <c r="B32" i="94"/>
  <c r="B34" i="94" s="1"/>
  <c r="F33" i="94" s="1"/>
  <c r="F19" i="173"/>
  <c r="G13" i="173"/>
  <c r="I25" i="149"/>
  <c r="H25" i="148"/>
  <c r="E19" i="146"/>
  <c r="E20" i="146" s="1"/>
  <c r="H24" i="144"/>
  <c r="H25" i="145"/>
  <c r="H25" i="154"/>
  <c r="G18" i="155"/>
  <c r="H25" i="150"/>
  <c r="B1" i="155"/>
  <c r="B3" i="155" s="1"/>
  <c r="H25" i="152"/>
  <c r="J13" i="151"/>
  <c r="G23" i="151"/>
  <c r="H25" i="151"/>
  <c r="G19" i="151"/>
  <c r="E19" i="155"/>
  <c r="B7" i="155"/>
  <c r="F1" i="155"/>
  <c r="F2" i="155" s="1"/>
  <c r="F14" i="155"/>
  <c r="E19" i="154"/>
  <c r="E20" i="154" s="1"/>
  <c r="B1" i="154"/>
  <c r="I25" i="154"/>
  <c r="B7" i="154"/>
  <c r="B9" i="154" s="1"/>
  <c r="I25" i="119"/>
  <c r="H25" i="119"/>
  <c r="F19" i="119"/>
  <c r="J13" i="119"/>
  <c r="E19" i="119"/>
  <c r="E20" i="119" s="1"/>
  <c r="H56" i="94"/>
  <c r="E44" i="94"/>
  <c r="B1" i="153"/>
  <c r="B3" i="153" s="1"/>
  <c r="F2" i="153" s="1"/>
  <c r="F19" i="153"/>
  <c r="G13" i="153"/>
  <c r="E19" i="153"/>
  <c r="E20" i="153" s="1"/>
  <c r="I25" i="152"/>
  <c r="B1" i="152"/>
  <c r="I25" i="151"/>
  <c r="B1" i="151"/>
  <c r="B3" i="151" s="1"/>
  <c r="E19" i="151"/>
  <c r="E20" i="151" s="1"/>
  <c r="F19" i="151"/>
  <c r="E77" i="107"/>
  <c r="F77" i="107" s="1"/>
  <c r="G77" i="107" s="1"/>
  <c r="J77" i="107" s="1"/>
  <c r="E19" i="150"/>
  <c r="E20" i="150" s="1"/>
  <c r="B5" i="150"/>
  <c r="B7" i="150" s="1"/>
  <c r="B9" i="150" s="1"/>
  <c r="F2" i="150"/>
  <c r="G13" i="150"/>
  <c r="F19" i="150"/>
  <c r="C7" i="150" s="1"/>
  <c r="J25" i="149"/>
  <c r="E19" i="149"/>
  <c r="E20" i="149" s="1"/>
  <c r="B5" i="149"/>
  <c r="B7" i="149" s="1"/>
  <c r="B9" i="149" s="1"/>
  <c r="F2" i="149"/>
  <c r="F19" i="149"/>
  <c r="G13" i="149"/>
  <c r="J24" i="148"/>
  <c r="G25" i="148"/>
  <c r="I25" i="148"/>
  <c r="F19" i="148"/>
  <c r="G15" i="148"/>
  <c r="J23" i="148"/>
  <c r="H25" i="147"/>
  <c r="B1" i="147"/>
  <c r="I25" i="147"/>
  <c r="E19" i="147"/>
  <c r="E20" i="147" s="1"/>
  <c r="F2" i="147"/>
  <c r="G13" i="147"/>
  <c r="G23" i="147" s="1"/>
  <c r="F19" i="147"/>
  <c r="I25" i="146"/>
  <c r="B5" i="146"/>
  <c r="B7" i="146" s="1"/>
  <c r="B9" i="146" s="1"/>
  <c r="F2" i="146"/>
  <c r="F13" i="146"/>
  <c r="G23" i="119"/>
  <c r="B63" i="107"/>
  <c r="B65" i="107" s="1"/>
  <c r="H87" i="107"/>
  <c r="I87" i="107"/>
  <c r="I25" i="145"/>
  <c r="E19" i="145"/>
  <c r="E20" i="145" s="1"/>
  <c r="F2" i="145"/>
  <c r="B5" i="145"/>
  <c r="B7" i="145" s="1"/>
  <c r="B9" i="145" s="1"/>
  <c r="G13" i="145"/>
  <c r="J13" i="145" s="1"/>
  <c r="F19" i="145"/>
  <c r="I24" i="144"/>
  <c r="J24" i="144"/>
  <c r="F2" i="144"/>
  <c r="B5" i="144"/>
  <c r="B7" i="144" s="1"/>
  <c r="B9" i="144" s="1"/>
  <c r="F18" i="144"/>
  <c r="G13" i="144"/>
  <c r="G22" i="144" s="1"/>
  <c r="G24" i="144" s="1"/>
  <c r="E18" i="144"/>
  <c r="E19" i="144" s="1"/>
  <c r="B1" i="143"/>
  <c r="B3" i="143" s="1"/>
  <c r="F2" i="143" s="1"/>
  <c r="F13" i="143"/>
  <c r="E19" i="143"/>
  <c r="E20" i="143" s="1"/>
  <c r="J24" i="141"/>
  <c r="I24" i="141"/>
  <c r="H24" i="141"/>
  <c r="G24" i="141"/>
  <c r="I23" i="141"/>
  <c r="H23" i="141"/>
  <c r="D19" i="141"/>
  <c r="C19" i="141"/>
  <c r="E18" i="141"/>
  <c r="F18" i="141" s="1"/>
  <c r="G18" i="141" s="1"/>
  <c r="J18" i="141" s="1"/>
  <c r="E17" i="141"/>
  <c r="F17" i="141" s="1"/>
  <c r="G17" i="141" s="1"/>
  <c r="J17" i="141" s="1"/>
  <c r="E16" i="141"/>
  <c r="F16" i="141" s="1"/>
  <c r="G16" i="141" s="1"/>
  <c r="J16" i="141" s="1"/>
  <c r="E15" i="141"/>
  <c r="F15" i="141" s="1"/>
  <c r="G15" i="141" s="1"/>
  <c r="J15" i="141" s="1"/>
  <c r="E14" i="141"/>
  <c r="G14" i="141" s="1"/>
  <c r="J14" i="141" s="1"/>
  <c r="E13" i="141"/>
  <c r="F13" i="141" s="1"/>
  <c r="B1" i="141"/>
  <c r="B3" i="141" s="1"/>
  <c r="H19" i="105"/>
  <c r="I19" i="105"/>
  <c r="E15" i="104"/>
  <c r="F15" i="104"/>
  <c r="G15" i="104" s="1"/>
  <c r="J15" i="104" s="1"/>
  <c r="E20" i="155" l="1"/>
  <c r="B5" i="151"/>
  <c r="B7" i="151" s="1"/>
  <c r="B9" i="151" s="1"/>
  <c r="G23" i="173"/>
  <c r="G25" i="173" s="1"/>
  <c r="G19" i="173"/>
  <c r="J13" i="173"/>
  <c r="J23" i="173" s="1"/>
  <c r="J25" i="173" s="1"/>
  <c r="I25" i="141"/>
  <c r="H25" i="141"/>
  <c r="J24" i="119"/>
  <c r="G24" i="119"/>
  <c r="G25" i="119" s="1"/>
  <c r="B9" i="155"/>
  <c r="F19" i="155"/>
  <c r="F19" i="154"/>
  <c r="G19" i="119"/>
  <c r="J19" i="119"/>
  <c r="J23" i="119"/>
  <c r="B36" i="94"/>
  <c r="B38" i="94" s="1"/>
  <c r="B40" i="94" s="1"/>
  <c r="E50" i="94"/>
  <c r="E51" i="94" s="1"/>
  <c r="F44" i="94"/>
  <c r="B5" i="153"/>
  <c r="B7" i="153" s="1"/>
  <c r="B9" i="153" s="1"/>
  <c r="G23" i="153"/>
  <c r="G25" i="153" s="1"/>
  <c r="G19" i="153"/>
  <c r="J13" i="153"/>
  <c r="F75" i="107"/>
  <c r="F81" i="107" s="1"/>
  <c r="E81" i="107"/>
  <c r="F19" i="152"/>
  <c r="F2" i="152"/>
  <c r="B5" i="152"/>
  <c r="E19" i="152"/>
  <c r="E20" i="152" s="1"/>
  <c r="F2" i="151"/>
  <c r="G25" i="151"/>
  <c r="B67" i="107"/>
  <c r="J13" i="150"/>
  <c r="G23" i="150"/>
  <c r="G25" i="150" s="1"/>
  <c r="G19" i="150"/>
  <c r="C9" i="150" s="1"/>
  <c r="G19" i="149"/>
  <c r="J13" i="149"/>
  <c r="G23" i="149"/>
  <c r="G25" i="149" s="1"/>
  <c r="J25" i="148"/>
  <c r="J15" i="148"/>
  <c r="G19" i="148"/>
  <c r="G19" i="147"/>
  <c r="J13" i="147"/>
  <c r="G24" i="147"/>
  <c r="G25" i="147" s="1"/>
  <c r="F19" i="146"/>
  <c r="G13" i="146"/>
  <c r="G23" i="145"/>
  <c r="G25" i="145" s="1"/>
  <c r="G19" i="145"/>
  <c r="J23" i="145"/>
  <c r="J25" i="145" s="1"/>
  <c r="J13" i="144"/>
  <c r="G18" i="144"/>
  <c r="B5" i="143"/>
  <c r="B7" i="143" s="1"/>
  <c r="B9" i="143" s="1"/>
  <c r="F19" i="143"/>
  <c r="G13" i="143"/>
  <c r="G23" i="143" s="1"/>
  <c r="E19" i="141"/>
  <c r="E20" i="141" s="1"/>
  <c r="B5" i="141"/>
  <c r="B7" i="141" s="1"/>
  <c r="B9" i="141" s="1"/>
  <c r="F2" i="141"/>
  <c r="G13" i="141"/>
  <c r="J13" i="141" s="1"/>
  <c r="F19" i="141"/>
  <c r="E13" i="120"/>
  <c r="F13" i="120" s="1"/>
  <c r="D13" i="140"/>
  <c r="E13" i="140" s="1"/>
  <c r="I24" i="140"/>
  <c r="H24" i="140"/>
  <c r="J23" i="140"/>
  <c r="I23" i="140"/>
  <c r="H23" i="140"/>
  <c r="H25" i="140" s="1"/>
  <c r="G23" i="140"/>
  <c r="C19" i="140"/>
  <c r="E18" i="140"/>
  <c r="F18" i="140" s="1"/>
  <c r="G18" i="140" s="1"/>
  <c r="J18" i="140" s="1"/>
  <c r="E17" i="140"/>
  <c r="F17" i="140" s="1"/>
  <c r="G17" i="140" s="1"/>
  <c r="J17" i="140" s="1"/>
  <c r="E16" i="140"/>
  <c r="F16" i="140" s="1"/>
  <c r="G16" i="140" s="1"/>
  <c r="J16" i="140" s="1"/>
  <c r="E15" i="140"/>
  <c r="F15" i="140" s="1"/>
  <c r="G15" i="140" s="1"/>
  <c r="J15" i="140" s="1"/>
  <c r="E14" i="140"/>
  <c r="F14" i="140" s="1"/>
  <c r="G14" i="140" s="1"/>
  <c r="J14" i="140" s="1"/>
  <c r="I22" i="137"/>
  <c r="H22" i="137"/>
  <c r="H24" i="137" s="1"/>
  <c r="I22" i="138"/>
  <c r="H22" i="138"/>
  <c r="I22" i="139"/>
  <c r="H22" i="139"/>
  <c r="F2" i="139"/>
  <c r="J23" i="139"/>
  <c r="I23" i="139"/>
  <c r="H23" i="139"/>
  <c r="G23" i="139"/>
  <c r="I18" i="139"/>
  <c r="H18" i="139"/>
  <c r="D18" i="139"/>
  <c r="C18" i="139"/>
  <c r="E17" i="139"/>
  <c r="F17" i="139" s="1"/>
  <c r="G17" i="139" s="1"/>
  <c r="J17" i="139" s="1"/>
  <c r="E16" i="139"/>
  <c r="F16" i="139" s="1"/>
  <c r="G16" i="139" s="1"/>
  <c r="J16" i="139" s="1"/>
  <c r="E15" i="139"/>
  <c r="E14" i="139"/>
  <c r="E13" i="139"/>
  <c r="B7" i="139"/>
  <c r="B6" i="139" s="1"/>
  <c r="F13" i="139" s="1"/>
  <c r="G13" i="139" s="1"/>
  <c r="G22" i="139" s="1"/>
  <c r="G24" i="139" s="1"/>
  <c r="B5" i="139"/>
  <c r="J23" i="138"/>
  <c r="I23" i="138"/>
  <c r="H23" i="138"/>
  <c r="G23" i="138"/>
  <c r="I24" i="138"/>
  <c r="H24" i="138"/>
  <c r="I18" i="138"/>
  <c r="H18" i="138"/>
  <c r="D18" i="138"/>
  <c r="C18" i="138"/>
  <c r="B1" i="138" s="1"/>
  <c r="E17" i="138"/>
  <c r="E16" i="138"/>
  <c r="E15" i="138"/>
  <c r="E14" i="138"/>
  <c r="E13" i="138"/>
  <c r="B7" i="138"/>
  <c r="B6" i="138" s="1"/>
  <c r="B5" i="138"/>
  <c r="F13" i="137"/>
  <c r="G13" i="137" s="1"/>
  <c r="G22" i="137" s="1"/>
  <c r="B6" i="137"/>
  <c r="B7" i="137"/>
  <c r="F17" i="137"/>
  <c r="E13" i="137"/>
  <c r="J23" i="137"/>
  <c r="I23" i="137"/>
  <c r="H23" i="137"/>
  <c r="G23" i="137"/>
  <c r="I18" i="137"/>
  <c r="H18" i="137"/>
  <c r="D18" i="137"/>
  <c r="C18" i="137"/>
  <c r="E17" i="137"/>
  <c r="E16" i="137"/>
  <c r="F16" i="137" s="1"/>
  <c r="E15" i="137"/>
  <c r="F15" i="137" s="1"/>
  <c r="E14" i="137"/>
  <c r="J24" i="136"/>
  <c r="I24" i="136"/>
  <c r="I25" i="136" s="1"/>
  <c r="H24" i="136"/>
  <c r="G24" i="136"/>
  <c r="I23" i="136"/>
  <c r="H23" i="136"/>
  <c r="D19" i="136"/>
  <c r="C19" i="136"/>
  <c r="F18" i="136"/>
  <c r="G18" i="136" s="1"/>
  <c r="J18" i="136" s="1"/>
  <c r="E18" i="136"/>
  <c r="E17" i="136"/>
  <c r="F17" i="136" s="1"/>
  <c r="G17" i="136" s="1"/>
  <c r="J17" i="136" s="1"/>
  <c r="E16" i="136"/>
  <c r="F16" i="136" s="1"/>
  <c r="G16" i="136" s="1"/>
  <c r="J16" i="136" s="1"/>
  <c r="E15" i="136"/>
  <c r="F15" i="136" s="1"/>
  <c r="G15" i="136" s="1"/>
  <c r="J15" i="136" s="1"/>
  <c r="F14" i="136"/>
  <c r="G14" i="136" s="1"/>
  <c r="J14" i="136" s="1"/>
  <c r="E14" i="136"/>
  <c r="E13" i="136"/>
  <c r="F13" i="136" s="1"/>
  <c r="G13" i="136" s="1"/>
  <c r="J13" i="136" s="1"/>
  <c r="I23" i="115"/>
  <c r="I24" i="134"/>
  <c r="H24" i="134"/>
  <c r="I23" i="134"/>
  <c r="H23" i="134"/>
  <c r="E18" i="134"/>
  <c r="F18" i="134" s="1"/>
  <c r="G18" i="134" s="1"/>
  <c r="J18" i="134" s="1"/>
  <c r="E17" i="134"/>
  <c r="F17" i="134" s="1"/>
  <c r="G17" i="134" s="1"/>
  <c r="J17" i="134" s="1"/>
  <c r="E16" i="134"/>
  <c r="F16" i="134" s="1"/>
  <c r="G16" i="134" s="1"/>
  <c r="J16" i="134" s="1"/>
  <c r="E15" i="134"/>
  <c r="F15" i="134" s="1"/>
  <c r="G15" i="134" s="1"/>
  <c r="J15" i="134" s="1"/>
  <c r="D19" i="134"/>
  <c r="E14" i="134"/>
  <c r="E13" i="134"/>
  <c r="G13" i="134" s="1"/>
  <c r="E14" i="118"/>
  <c r="F14" i="118" s="1"/>
  <c r="G14" i="118" s="1"/>
  <c r="J14" i="118" s="1"/>
  <c r="E15" i="118"/>
  <c r="G15" i="118" s="1"/>
  <c r="E16" i="118"/>
  <c r="F16" i="118"/>
  <c r="G16" i="118" s="1"/>
  <c r="E17" i="118"/>
  <c r="F17" i="118"/>
  <c r="E13" i="118"/>
  <c r="J72" i="133"/>
  <c r="J80" i="133" s="1"/>
  <c r="L80" i="133" s="1"/>
  <c r="J67" i="133"/>
  <c r="J66" i="133"/>
  <c r="J57" i="133"/>
  <c r="J63" i="133" s="1"/>
  <c r="M67" i="133"/>
  <c r="L67" i="133"/>
  <c r="K67" i="133"/>
  <c r="M66" i="133"/>
  <c r="L66" i="133"/>
  <c r="K66" i="133"/>
  <c r="F62" i="133"/>
  <c r="E62" i="133"/>
  <c r="L61" i="133"/>
  <c r="G58" i="133"/>
  <c r="H58" i="133" s="1"/>
  <c r="I58" i="133" s="1"/>
  <c r="L58" i="133" s="1"/>
  <c r="G57" i="133"/>
  <c r="H57" i="133" s="1"/>
  <c r="J40" i="133"/>
  <c r="J41" i="133"/>
  <c r="J36" i="133"/>
  <c r="J35" i="133"/>
  <c r="J34" i="133"/>
  <c r="M35" i="133"/>
  <c r="L35" i="133"/>
  <c r="K35" i="133"/>
  <c r="M34" i="133"/>
  <c r="L34" i="133"/>
  <c r="K34" i="133"/>
  <c r="J31" i="133"/>
  <c r="L29" i="133"/>
  <c r="F30" i="133"/>
  <c r="E30" i="133"/>
  <c r="G18" i="133"/>
  <c r="H18" i="133" s="1"/>
  <c r="I18" i="133" s="1"/>
  <c r="L18" i="133" s="1"/>
  <c r="G17" i="133"/>
  <c r="H17" i="133" s="1"/>
  <c r="I17" i="133" s="1"/>
  <c r="L17" i="133" s="1"/>
  <c r="G16" i="133"/>
  <c r="H16" i="133" s="1"/>
  <c r="I16" i="133" s="1"/>
  <c r="L16" i="133" s="1"/>
  <c r="G15" i="133"/>
  <c r="H15" i="133" s="1"/>
  <c r="I15" i="133" s="1"/>
  <c r="G14" i="133"/>
  <c r="H14" i="133" s="1"/>
  <c r="I14" i="133" s="1"/>
  <c r="L14" i="133" s="1"/>
  <c r="G13" i="133"/>
  <c r="H13" i="133" s="1"/>
  <c r="I13" i="133" s="1"/>
  <c r="D19" i="132"/>
  <c r="I24" i="132"/>
  <c r="H24" i="132"/>
  <c r="I23" i="132"/>
  <c r="H23" i="132"/>
  <c r="C19" i="132"/>
  <c r="E18" i="132"/>
  <c r="F18" i="132" s="1"/>
  <c r="G18" i="132" s="1"/>
  <c r="J18" i="132" s="1"/>
  <c r="E17" i="132"/>
  <c r="F17" i="132" s="1"/>
  <c r="G17" i="132" s="1"/>
  <c r="J17" i="132" s="1"/>
  <c r="E16" i="132"/>
  <c r="F16" i="132" s="1"/>
  <c r="G16" i="132" s="1"/>
  <c r="J16" i="132" s="1"/>
  <c r="E15" i="132"/>
  <c r="F15" i="132" s="1"/>
  <c r="G15" i="132" s="1"/>
  <c r="J15" i="132" s="1"/>
  <c r="E14" i="132"/>
  <c r="F14" i="132" s="1"/>
  <c r="G14" i="132" s="1"/>
  <c r="J14" i="132" s="1"/>
  <c r="B8" i="131"/>
  <c r="J24" i="131"/>
  <c r="I24" i="131"/>
  <c r="H24" i="131"/>
  <c r="G24" i="131"/>
  <c r="I23" i="131"/>
  <c r="I25" i="131" s="1"/>
  <c r="H23" i="131"/>
  <c r="D19" i="131"/>
  <c r="C19" i="131"/>
  <c r="B1" i="131" s="1"/>
  <c r="B5" i="131" s="1"/>
  <c r="E18" i="131"/>
  <c r="F18" i="131" s="1"/>
  <c r="E17" i="131"/>
  <c r="F17" i="131" s="1"/>
  <c r="E16" i="131"/>
  <c r="F16" i="131" s="1"/>
  <c r="E15" i="131"/>
  <c r="F15" i="131" s="1"/>
  <c r="E14" i="131"/>
  <c r="F14" i="131" s="1"/>
  <c r="E13" i="131"/>
  <c r="F13" i="131" s="1"/>
  <c r="J24" i="130"/>
  <c r="I24" i="130"/>
  <c r="H24" i="130"/>
  <c r="G24" i="130"/>
  <c r="I23" i="130"/>
  <c r="I25" i="130" s="1"/>
  <c r="H23" i="130"/>
  <c r="H25" i="130" s="1"/>
  <c r="D19" i="130"/>
  <c r="C19" i="130"/>
  <c r="B1" i="130" s="1"/>
  <c r="B3" i="130" s="1"/>
  <c r="F2" i="130" s="1"/>
  <c r="E18" i="130"/>
  <c r="F18" i="130" s="1"/>
  <c r="G18" i="130" s="1"/>
  <c r="J18" i="130" s="1"/>
  <c r="E17" i="130"/>
  <c r="F17" i="130" s="1"/>
  <c r="G17" i="130" s="1"/>
  <c r="J17" i="130" s="1"/>
  <c r="E16" i="130"/>
  <c r="F16" i="130" s="1"/>
  <c r="G16" i="130" s="1"/>
  <c r="J16" i="130" s="1"/>
  <c r="E15" i="130"/>
  <c r="F15" i="130" s="1"/>
  <c r="G15" i="130" s="1"/>
  <c r="J15" i="130" s="1"/>
  <c r="E14" i="130"/>
  <c r="F14" i="130" s="1"/>
  <c r="G14" i="130" s="1"/>
  <c r="J14" i="130" s="1"/>
  <c r="E13" i="130"/>
  <c r="F13" i="130" s="1"/>
  <c r="G13" i="130" s="1"/>
  <c r="J24" i="129"/>
  <c r="I24" i="129"/>
  <c r="H24" i="129"/>
  <c r="G24" i="129"/>
  <c r="I23" i="129"/>
  <c r="I25" i="129" s="1"/>
  <c r="H23" i="129"/>
  <c r="C19" i="129"/>
  <c r="E18" i="129"/>
  <c r="F18" i="129" s="1"/>
  <c r="G18" i="129" s="1"/>
  <c r="J18" i="129" s="1"/>
  <c r="E17" i="129"/>
  <c r="F17" i="129" s="1"/>
  <c r="G17" i="129" s="1"/>
  <c r="J17" i="129" s="1"/>
  <c r="E16" i="129"/>
  <c r="F16" i="129" s="1"/>
  <c r="G16" i="129" s="1"/>
  <c r="J16" i="129" s="1"/>
  <c r="E15" i="129"/>
  <c r="F15" i="129" s="1"/>
  <c r="G15" i="129" s="1"/>
  <c r="J15" i="129" s="1"/>
  <c r="D19" i="129"/>
  <c r="E13" i="129"/>
  <c r="F13" i="129" s="1"/>
  <c r="B7" i="152" l="1"/>
  <c r="B9" i="152" s="1"/>
  <c r="B1" i="132"/>
  <c r="B5" i="132" s="1"/>
  <c r="B7" i="132" s="1"/>
  <c r="B9" i="132" s="1"/>
  <c r="F13" i="138"/>
  <c r="F2" i="138"/>
  <c r="J23" i="150"/>
  <c r="J25" i="150" s="1"/>
  <c r="J15" i="150"/>
  <c r="B1" i="136"/>
  <c r="E18" i="138"/>
  <c r="E19" i="138" s="1"/>
  <c r="G23" i="155"/>
  <c r="G25" i="155" s="1"/>
  <c r="E18" i="139"/>
  <c r="E19" i="139" s="1"/>
  <c r="H24" i="139"/>
  <c r="F16" i="138"/>
  <c r="G16" i="138" s="1"/>
  <c r="J16" i="138" s="1"/>
  <c r="G23" i="134"/>
  <c r="J13" i="134"/>
  <c r="B69" i="107"/>
  <c r="B71" i="107" s="1"/>
  <c r="H25" i="129"/>
  <c r="J25" i="119"/>
  <c r="G19" i="155"/>
  <c r="G19" i="154"/>
  <c r="G23" i="154" s="1"/>
  <c r="G25" i="154" s="1"/>
  <c r="J13" i="154"/>
  <c r="J19" i="154" s="1"/>
  <c r="J23" i="154" s="1"/>
  <c r="J25" i="154" s="1"/>
  <c r="F50" i="94"/>
  <c r="G44" i="94"/>
  <c r="J44" i="94" s="1"/>
  <c r="G75" i="107"/>
  <c r="G81" i="107" s="1"/>
  <c r="G19" i="152"/>
  <c r="J23" i="152"/>
  <c r="J25" i="152" s="1"/>
  <c r="G23" i="152"/>
  <c r="G25" i="152" s="1"/>
  <c r="J24" i="147"/>
  <c r="J23" i="147"/>
  <c r="G23" i="146"/>
  <c r="G25" i="146" s="1"/>
  <c r="G19" i="146"/>
  <c r="J13" i="146"/>
  <c r="I25" i="132"/>
  <c r="G24" i="143"/>
  <c r="G25" i="143" s="1"/>
  <c r="G19" i="143"/>
  <c r="J13" i="143"/>
  <c r="J23" i="143" s="1"/>
  <c r="J25" i="143" s="1"/>
  <c r="G23" i="141"/>
  <c r="G25" i="141" s="1"/>
  <c r="J23" i="141"/>
  <c r="J25" i="141" s="1"/>
  <c r="G19" i="141"/>
  <c r="I25" i="140"/>
  <c r="F13" i="140"/>
  <c r="F19" i="140" s="1"/>
  <c r="E19" i="140"/>
  <c r="E20" i="140" s="1"/>
  <c r="D19" i="140"/>
  <c r="B1" i="140" s="1"/>
  <c r="B3" i="140" s="1"/>
  <c r="B5" i="140" s="1"/>
  <c r="B7" i="140" s="1"/>
  <c r="B9" i="140" s="1"/>
  <c r="G13" i="140"/>
  <c r="I24" i="139"/>
  <c r="I24" i="137"/>
  <c r="F14" i="139"/>
  <c r="G14" i="139" s="1"/>
  <c r="J14" i="139" s="1"/>
  <c r="F15" i="139"/>
  <c r="G15" i="139" s="1"/>
  <c r="J15" i="139" s="1"/>
  <c r="F17" i="138"/>
  <c r="G17" i="138" s="1"/>
  <c r="J17" i="138" s="1"/>
  <c r="F14" i="138"/>
  <c r="G14" i="138" s="1"/>
  <c r="J14" i="138" s="1"/>
  <c r="F15" i="138"/>
  <c r="G15" i="138" s="1"/>
  <c r="J15" i="138" s="1"/>
  <c r="G13" i="138"/>
  <c r="G22" i="138" s="1"/>
  <c r="G24" i="138" s="1"/>
  <c r="G15" i="137"/>
  <c r="J15" i="137" s="1"/>
  <c r="G16" i="137"/>
  <c r="J16" i="137" s="1"/>
  <c r="F14" i="137"/>
  <c r="G17" i="137"/>
  <c r="J17" i="137" s="1"/>
  <c r="J13" i="137"/>
  <c r="J22" i="137" s="1"/>
  <c r="G24" i="137"/>
  <c r="J24" i="137"/>
  <c r="E18" i="137"/>
  <c r="E19" i="137" s="1"/>
  <c r="F2" i="137"/>
  <c r="B5" i="137"/>
  <c r="B9" i="137" s="1"/>
  <c r="H25" i="136"/>
  <c r="F19" i="136"/>
  <c r="J23" i="136"/>
  <c r="J25" i="136" s="1"/>
  <c r="J19" i="136"/>
  <c r="G19" i="136"/>
  <c r="E19" i="136"/>
  <c r="G23" i="136"/>
  <c r="G25" i="136" s="1"/>
  <c r="H25" i="134"/>
  <c r="I25" i="134"/>
  <c r="F14" i="134"/>
  <c r="G14" i="134" s="1"/>
  <c r="G19" i="134" s="1"/>
  <c r="E19" i="134"/>
  <c r="E20" i="134" s="1"/>
  <c r="C19" i="134"/>
  <c r="B1" i="134" s="1"/>
  <c r="B3" i="134" s="1"/>
  <c r="B7" i="134" s="1"/>
  <c r="B9" i="134" s="1"/>
  <c r="J23" i="134"/>
  <c r="K68" i="133"/>
  <c r="L68" i="133"/>
  <c r="J68" i="133"/>
  <c r="M68" i="133"/>
  <c r="G62" i="133"/>
  <c r="G63" i="133" s="1"/>
  <c r="J73" i="133"/>
  <c r="J81" i="133" s="1"/>
  <c r="L81" i="133" s="1"/>
  <c r="L82" i="133" s="1"/>
  <c r="J69" i="133"/>
  <c r="I57" i="133"/>
  <c r="J37" i="133"/>
  <c r="J42" i="133"/>
  <c r="L36" i="133"/>
  <c r="M36" i="133"/>
  <c r="K36" i="133"/>
  <c r="D1" i="133"/>
  <c r="D3" i="133" s="1"/>
  <c r="D5" i="133" s="1"/>
  <c r="D7" i="133" s="1"/>
  <c r="D9" i="133" s="1"/>
  <c r="L19" i="133"/>
  <c r="G30" i="133"/>
  <c r="G31" i="133" s="1"/>
  <c r="I30" i="133"/>
  <c r="L13" i="133"/>
  <c r="H30" i="133"/>
  <c r="B1" i="129"/>
  <c r="B3" i="129" s="1"/>
  <c r="C3" i="129" s="1"/>
  <c r="H25" i="131"/>
  <c r="H25" i="132"/>
  <c r="E13" i="132"/>
  <c r="F13" i="132" s="1"/>
  <c r="G13" i="132" s="1"/>
  <c r="E19" i="131"/>
  <c r="E20" i="131" s="1"/>
  <c r="G14" i="131"/>
  <c r="J14" i="131" s="1"/>
  <c r="G15" i="131"/>
  <c r="J15" i="131" s="1"/>
  <c r="G17" i="131"/>
  <c r="J17" i="131" s="1"/>
  <c r="G16" i="131"/>
  <c r="J16" i="131" s="1"/>
  <c r="G18" i="131"/>
  <c r="J18" i="131" s="1"/>
  <c r="B7" i="131"/>
  <c r="B9" i="131" s="1"/>
  <c r="G13" i="131"/>
  <c r="F19" i="131"/>
  <c r="B3" i="131"/>
  <c r="F2" i="131" s="1"/>
  <c r="B5" i="130"/>
  <c r="B7" i="130" s="1"/>
  <c r="B9" i="130" s="1"/>
  <c r="J13" i="130"/>
  <c r="J23" i="130" s="1"/>
  <c r="J25" i="130" s="1"/>
  <c r="G23" i="130"/>
  <c r="G25" i="130" s="1"/>
  <c r="G19" i="130"/>
  <c r="F19" i="130"/>
  <c r="E19" i="130"/>
  <c r="E20" i="130" s="1"/>
  <c r="G13" i="129"/>
  <c r="B5" i="129"/>
  <c r="E14" i="129"/>
  <c r="D19" i="105"/>
  <c r="D19" i="98"/>
  <c r="E14" i="106"/>
  <c r="G14" i="106" s="1"/>
  <c r="G24" i="128"/>
  <c r="D19" i="128"/>
  <c r="C19" i="128"/>
  <c r="E18" i="128"/>
  <c r="F18" i="128" s="1"/>
  <c r="G18" i="128" s="1"/>
  <c r="E17" i="128"/>
  <c r="F17" i="128" s="1"/>
  <c r="G17" i="128" s="1"/>
  <c r="E16" i="128"/>
  <c r="F16" i="128" s="1"/>
  <c r="G16" i="128" s="1"/>
  <c r="E15" i="128"/>
  <c r="F15" i="128" s="1"/>
  <c r="G15" i="128" s="1"/>
  <c r="E14" i="128"/>
  <c r="F14" i="128" s="1"/>
  <c r="G14" i="128" s="1"/>
  <c r="D19" i="127"/>
  <c r="J24" i="127"/>
  <c r="I24" i="127"/>
  <c r="H24" i="127"/>
  <c r="G24" i="127"/>
  <c r="I23" i="127"/>
  <c r="H23" i="127"/>
  <c r="C19" i="127"/>
  <c r="E18" i="127"/>
  <c r="F18" i="127" s="1"/>
  <c r="G18" i="127" s="1"/>
  <c r="J18" i="127" s="1"/>
  <c r="E17" i="127"/>
  <c r="F17" i="127" s="1"/>
  <c r="G17" i="127" s="1"/>
  <c r="J17" i="127" s="1"/>
  <c r="E16" i="127"/>
  <c r="F16" i="127" s="1"/>
  <c r="G16" i="127" s="1"/>
  <c r="J16" i="127" s="1"/>
  <c r="E15" i="127"/>
  <c r="F15" i="127" s="1"/>
  <c r="G15" i="127" s="1"/>
  <c r="J15" i="127" s="1"/>
  <c r="E14" i="127"/>
  <c r="F14" i="127" s="1"/>
  <c r="G14" i="127" s="1"/>
  <c r="J14" i="127" s="1"/>
  <c r="E13" i="127"/>
  <c r="F13" i="127" s="1"/>
  <c r="G13" i="127" s="1"/>
  <c r="E14" i="115"/>
  <c r="F14" i="115" s="1"/>
  <c r="G14" i="115" s="1"/>
  <c r="D19" i="113"/>
  <c r="J24" i="126"/>
  <c r="I24" i="126"/>
  <c r="H24" i="126"/>
  <c r="G24" i="126"/>
  <c r="I23" i="126"/>
  <c r="H23" i="126"/>
  <c r="D19" i="126"/>
  <c r="C19" i="126"/>
  <c r="E18" i="126"/>
  <c r="F18" i="126" s="1"/>
  <c r="G18" i="126" s="1"/>
  <c r="J18" i="126" s="1"/>
  <c r="E17" i="126"/>
  <c r="F17" i="126" s="1"/>
  <c r="G17" i="126" s="1"/>
  <c r="J17" i="126" s="1"/>
  <c r="E16" i="126"/>
  <c r="F16" i="126" s="1"/>
  <c r="G16" i="126" s="1"/>
  <c r="J16" i="126" s="1"/>
  <c r="E15" i="126"/>
  <c r="J15" i="126" s="1"/>
  <c r="E14" i="126"/>
  <c r="F14" i="126" s="1"/>
  <c r="G14" i="126" s="1"/>
  <c r="J14" i="126" s="1"/>
  <c r="E13" i="126"/>
  <c r="F13" i="126" s="1"/>
  <c r="E14" i="125"/>
  <c r="J24" i="125"/>
  <c r="I24" i="125"/>
  <c r="H24" i="125"/>
  <c r="G24" i="125"/>
  <c r="I23" i="125"/>
  <c r="H23" i="125"/>
  <c r="C19" i="125"/>
  <c r="E18" i="125"/>
  <c r="F18" i="125" s="1"/>
  <c r="G18" i="125" s="1"/>
  <c r="J18" i="125" s="1"/>
  <c r="E17" i="125"/>
  <c r="F17" i="125" s="1"/>
  <c r="G17" i="125" s="1"/>
  <c r="J17" i="125" s="1"/>
  <c r="E16" i="125"/>
  <c r="F16" i="125" s="1"/>
  <c r="G16" i="125" s="1"/>
  <c r="J16" i="125" s="1"/>
  <c r="E15" i="125"/>
  <c r="F15" i="125" s="1"/>
  <c r="G15" i="125" s="1"/>
  <c r="J15" i="125" s="1"/>
  <c r="D19" i="125"/>
  <c r="E13" i="125"/>
  <c r="D19" i="124"/>
  <c r="I24" i="124"/>
  <c r="H24" i="124"/>
  <c r="I23" i="124"/>
  <c r="H23" i="124"/>
  <c r="C19" i="124"/>
  <c r="E18" i="124"/>
  <c r="F18" i="124" s="1"/>
  <c r="G18" i="124" s="1"/>
  <c r="J18" i="124" s="1"/>
  <c r="E17" i="124"/>
  <c r="F17" i="124" s="1"/>
  <c r="G17" i="124" s="1"/>
  <c r="J17" i="124" s="1"/>
  <c r="E16" i="124"/>
  <c r="F16" i="124" s="1"/>
  <c r="G16" i="124" s="1"/>
  <c r="J16" i="124" s="1"/>
  <c r="E15" i="124"/>
  <c r="F15" i="124" s="1"/>
  <c r="G15" i="124" s="1"/>
  <c r="E14" i="124"/>
  <c r="F14" i="124" s="1"/>
  <c r="G14" i="124" s="1"/>
  <c r="E13" i="124"/>
  <c r="F13" i="124" s="1"/>
  <c r="J25" i="123"/>
  <c r="I25" i="123"/>
  <c r="H25" i="123"/>
  <c r="G25" i="123"/>
  <c r="I24" i="123"/>
  <c r="H24" i="123"/>
  <c r="C20" i="123"/>
  <c r="E19" i="123"/>
  <c r="F19" i="123" s="1"/>
  <c r="G19" i="123" s="1"/>
  <c r="J19" i="123" s="1"/>
  <c r="E18" i="123"/>
  <c r="F18" i="123" s="1"/>
  <c r="G18" i="123" s="1"/>
  <c r="J18" i="123" s="1"/>
  <c r="E17" i="123"/>
  <c r="F17" i="123" s="1"/>
  <c r="G17" i="123" s="1"/>
  <c r="J17" i="123" s="1"/>
  <c r="D20" i="123"/>
  <c r="E14" i="123"/>
  <c r="D19" i="109"/>
  <c r="E15" i="109"/>
  <c r="F15" i="109" s="1"/>
  <c r="G15" i="109" s="1"/>
  <c r="J15" i="109" s="1"/>
  <c r="H29" i="117"/>
  <c r="G29" i="117"/>
  <c r="H28" i="117"/>
  <c r="H30" i="117" s="1"/>
  <c r="I24" i="115"/>
  <c r="H24" i="115"/>
  <c r="G24" i="115"/>
  <c r="H23" i="115"/>
  <c r="J24" i="104"/>
  <c r="I24" i="104"/>
  <c r="H24" i="104"/>
  <c r="G24" i="104"/>
  <c r="I23" i="104"/>
  <c r="H23" i="104"/>
  <c r="J24" i="113"/>
  <c r="I24" i="113"/>
  <c r="H24" i="113"/>
  <c r="G24" i="113"/>
  <c r="I23" i="113"/>
  <c r="H23" i="113"/>
  <c r="J24" i="111"/>
  <c r="I24" i="111"/>
  <c r="H24" i="111"/>
  <c r="G24" i="111"/>
  <c r="I23" i="111"/>
  <c r="H23" i="111"/>
  <c r="J23" i="101"/>
  <c r="I23" i="101"/>
  <c r="H23" i="101"/>
  <c r="G23" i="101"/>
  <c r="J22" i="101"/>
  <c r="I22" i="101"/>
  <c r="H22" i="101"/>
  <c r="I24" i="100"/>
  <c r="H24" i="100"/>
  <c r="I23" i="100"/>
  <c r="H23" i="100"/>
  <c r="H25" i="100" s="1"/>
  <c r="J24" i="112"/>
  <c r="I24" i="112"/>
  <c r="H24" i="112"/>
  <c r="G24" i="112"/>
  <c r="I23" i="112"/>
  <c r="H23" i="112"/>
  <c r="J24" i="109"/>
  <c r="I24" i="109"/>
  <c r="H24" i="109"/>
  <c r="G24" i="109"/>
  <c r="H23" i="109"/>
  <c r="J24" i="114"/>
  <c r="I24" i="114"/>
  <c r="H24" i="114"/>
  <c r="G24" i="114"/>
  <c r="I23" i="114"/>
  <c r="H23" i="114"/>
  <c r="J24" i="118"/>
  <c r="I24" i="118"/>
  <c r="H24" i="118"/>
  <c r="G24" i="118"/>
  <c r="I23" i="118"/>
  <c r="H23" i="118"/>
  <c r="H23" i="98"/>
  <c r="I23" i="98"/>
  <c r="H24" i="98"/>
  <c r="I24" i="98"/>
  <c r="H23" i="103"/>
  <c r="I23" i="103"/>
  <c r="H24" i="103"/>
  <c r="I24" i="103"/>
  <c r="E14" i="112"/>
  <c r="F14" i="112" s="1"/>
  <c r="G14" i="112" s="1"/>
  <c r="J14" i="112" s="1"/>
  <c r="N17" i="122"/>
  <c r="N18" i="122" s="1"/>
  <c r="N19" i="122" s="1"/>
  <c r="N20" i="122" s="1"/>
  <c r="J24" i="122"/>
  <c r="I24" i="122"/>
  <c r="H24" i="122"/>
  <c r="G24" i="122"/>
  <c r="I23" i="122"/>
  <c r="H23" i="122"/>
  <c r="D19" i="122"/>
  <c r="C19" i="122"/>
  <c r="E18" i="122"/>
  <c r="F18" i="122" s="1"/>
  <c r="G18" i="122" s="1"/>
  <c r="J18" i="122" s="1"/>
  <c r="E17" i="122"/>
  <c r="F17" i="122" s="1"/>
  <c r="G17" i="122" s="1"/>
  <c r="J17" i="122" s="1"/>
  <c r="E16" i="122"/>
  <c r="F16" i="122" s="1"/>
  <c r="G16" i="122" s="1"/>
  <c r="J16" i="122" s="1"/>
  <c r="E15" i="122"/>
  <c r="F15" i="122" s="1"/>
  <c r="G15" i="122" s="1"/>
  <c r="J15" i="122" s="1"/>
  <c r="G14" i="122"/>
  <c r="J14" i="122" s="1"/>
  <c r="E14" i="122"/>
  <c r="E19" i="122" s="1"/>
  <c r="E20" i="122" s="1"/>
  <c r="L13" i="122"/>
  <c r="E13" i="122"/>
  <c r="F13" i="122" s="1"/>
  <c r="G13" i="122" s="1"/>
  <c r="J13" i="122" s="1"/>
  <c r="J23" i="122" s="1"/>
  <c r="H23" i="105"/>
  <c r="I23" i="105"/>
  <c r="H24" i="105"/>
  <c r="I24" i="105"/>
  <c r="H23" i="116"/>
  <c r="H25" i="116" s="1"/>
  <c r="I23" i="116"/>
  <c r="H24" i="116"/>
  <c r="I24" i="116"/>
  <c r="J24" i="116"/>
  <c r="G24" i="116"/>
  <c r="H23" i="94"/>
  <c r="I23" i="94"/>
  <c r="H24" i="94"/>
  <c r="I24" i="94"/>
  <c r="H23" i="121"/>
  <c r="I23" i="121"/>
  <c r="H24" i="121"/>
  <c r="I24" i="121"/>
  <c r="G24" i="121"/>
  <c r="E13" i="121"/>
  <c r="F13" i="121" s="1"/>
  <c r="D19" i="121"/>
  <c r="C19" i="121"/>
  <c r="E18" i="121"/>
  <c r="F18" i="121" s="1"/>
  <c r="G18" i="121" s="1"/>
  <c r="J18" i="121" s="1"/>
  <c r="E17" i="121"/>
  <c r="F17" i="121" s="1"/>
  <c r="G17" i="121" s="1"/>
  <c r="J17" i="121" s="1"/>
  <c r="E16" i="121"/>
  <c r="F16" i="121" s="1"/>
  <c r="G16" i="121" s="1"/>
  <c r="J16" i="121" s="1"/>
  <c r="E15" i="121"/>
  <c r="F15" i="121" s="1"/>
  <c r="G15" i="121" s="1"/>
  <c r="J15" i="121" s="1"/>
  <c r="E14" i="121"/>
  <c r="H23" i="120"/>
  <c r="H25" i="120" s="1"/>
  <c r="I23" i="120"/>
  <c r="H24" i="120"/>
  <c r="I24" i="120"/>
  <c r="G23" i="120"/>
  <c r="D19" i="120"/>
  <c r="C19" i="120"/>
  <c r="E18" i="120"/>
  <c r="F18" i="120" s="1"/>
  <c r="G18" i="120" s="1"/>
  <c r="J18" i="120" s="1"/>
  <c r="E17" i="120"/>
  <c r="F17" i="120" s="1"/>
  <c r="G17" i="120" s="1"/>
  <c r="J17" i="120" s="1"/>
  <c r="E16" i="120"/>
  <c r="F16" i="120" s="1"/>
  <c r="G16" i="120" s="1"/>
  <c r="J16" i="120" s="1"/>
  <c r="E15" i="120"/>
  <c r="F15" i="120" s="1"/>
  <c r="G15" i="120" s="1"/>
  <c r="J15" i="120" s="1"/>
  <c r="E14" i="120"/>
  <c r="H18" i="101"/>
  <c r="I18" i="101"/>
  <c r="E16" i="94"/>
  <c r="F16" i="94" s="1"/>
  <c r="G16" i="94" s="1"/>
  <c r="J16" i="94" s="1"/>
  <c r="E15" i="94"/>
  <c r="F15" i="94" s="1"/>
  <c r="G15" i="94" s="1"/>
  <c r="J15" i="94" s="1"/>
  <c r="F14" i="94"/>
  <c r="G14" i="94" s="1"/>
  <c r="J14" i="94" s="1"/>
  <c r="D19" i="118"/>
  <c r="C19" i="118"/>
  <c r="E18" i="118"/>
  <c r="F18" i="118" s="1"/>
  <c r="G18" i="118" s="1"/>
  <c r="J18" i="118" s="1"/>
  <c r="G17" i="118"/>
  <c r="J17" i="118" s="1"/>
  <c r="J15" i="118"/>
  <c r="F13" i="118"/>
  <c r="G13" i="118" s="1"/>
  <c r="D24" i="117"/>
  <c r="C24" i="117"/>
  <c r="E23" i="117"/>
  <c r="F23" i="117" s="1"/>
  <c r="G23" i="117" s="1"/>
  <c r="K23" i="117" s="1"/>
  <c r="E22" i="117"/>
  <c r="F22" i="117" s="1"/>
  <c r="G22" i="117" s="1"/>
  <c r="K22" i="117" s="1"/>
  <c r="E21" i="117"/>
  <c r="F21" i="117" s="1"/>
  <c r="G21" i="117" s="1"/>
  <c r="K21" i="117" s="1"/>
  <c r="E20" i="117"/>
  <c r="F20" i="117" s="1"/>
  <c r="G20" i="117" s="1"/>
  <c r="K20" i="117" s="1"/>
  <c r="K24" i="117" s="1"/>
  <c r="D19" i="116"/>
  <c r="C19" i="116"/>
  <c r="E18" i="116"/>
  <c r="F18" i="116" s="1"/>
  <c r="G18" i="116" s="1"/>
  <c r="J18" i="116" s="1"/>
  <c r="E17" i="116"/>
  <c r="F17" i="116" s="1"/>
  <c r="G17" i="116" s="1"/>
  <c r="J17" i="116" s="1"/>
  <c r="E16" i="116"/>
  <c r="F16" i="116" s="1"/>
  <c r="G16" i="116" s="1"/>
  <c r="J16" i="116" s="1"/>
  <c r="E15" i="116"/>
  <c r="F15" i="116" s="1"/>
  <c r="G15" i="116" s="1"/>
  <c r="J15" i="116" s="1"/>
  <c r="E14" i="116"/>
  <c r="F14" i="116" s="1"/>
  <c r="G14" i="116" s="1"/>
  <c r="J14" i="116" s="1"/>
  <c r="E13" i="116"/>
  <c r="F13" i="116" s="1"/>
  <c r="G13" i="116" s="1"/>
  <c r="D19" i="115"/>
  <c r="C19" i="115"/>
  <c r="E18" i="115"/>
  <c r="F18" i="115" s="1"/>
  <c r="G18" i="115" s="1"/>
  <c r="E17" i="115"/>
  <c r="F17" i="115" s="1"/>
  <c r="G17" i="115" s="1"/>
  <c r="E16" i="115"/>
  <c r="F16" i="115" s="1"/>
  <c r="G16" i="115" s="1"/>
  <c r="E15" i="115"/>
  <c r="E13" i="115"/>
  <c r="F13" i="115" s="1"/>
  <c r="C19" i="114"/>
  <c r="E18" i="114"/>
  <c r="F18" i="114" s="1"/>
  <c r="E17" i="114"/>
  <c r="F17" i="114" s="1"/>
  <c r="E16" i="114"/>
  <c r="F16" i="114" s="1"/>
  <c r="E14" i="114"/>
  <c r="F14" i="114" s="1"/>
  <c r="G14" i="114" s="1"/>
  <c r="D19" i="114"/>
  <c r="E13" i="114"/>
  <c r="C19" i="113"/>
  <c r="E18" i="113"/>
  <c r="F18" i="113" s="1"/>
  <c r="G18" i="113" s="1"/>
  <c r="J18" i="113" s="1"/>
  <c r="E17" i="113"/>
  <c r="F17" i="113" s="1"/>
  <c r="G17" i="113" s="1"/>
  <c r="J17" i="113" s="1"/>
  <c r="E16" i="113"/>
  <c r="F16" i="113" s="1"/>
  <c r="G16" i="113" s="1"/>
  <c r="J16" i="113" s="1"/>
  <c r="E15" i="113"/>
  <c r="F15" i="113" s="1"/>
  <c r="G15" i="113" s="1"/>
  <c r="J15" i="113" s="1"/>
  <c r="E14" i="113"/>
  <c r="F14" i="113" s="1"/>
  <c r="G14" i="113" s="1"/>
  <c r="J14" i="113" s="1"/>
  <c r="E13" i="113"/>
  <c r="F13" i="113" s="1"/>
  <c r="E13" i="112"/>
  <c r="C19" i="112"/>
  <c r="E18" i="112"/>
  <c r="F18" i="112" s="1"/>
  <c r="G18" i="112" s="1"/>
  <c r="J18" i="112" s="1"/>
  <c r="E17" i="112"/>
  <c r="F17" i="112" s="1"/>
  <c r="G17" i="112" s="1"/>
  <c r="J17" i="112" s="1"/>
  <c r="E16" i="112"/>
  <c r="F16" i="112" s="1"/>
  <c r="G16" i="112" s="1"/>
  <c r="J16" i="112" s="1"/>
  <c r="E15" i="112"/>
  <c r="F15" i="112" s="1"/>
  <c r="G15" i="112" s="1"/>
  <c r="J15" i="112" s="1"/>
  <c r="C19" i="111"/>
  <c r="E18" i="111"/>
  <c r="F18" i="111" s="1"/>
  <c r="G18" i="111" s="1"/>
  <c r="J18" i="111" s="1"/>
  <c r="E17" i="111"/>
  <c r="F17" i="111" s="1"/>
  <c r="G17" i="111" s="1"/>
  <c r="J17" i="111" s="1"/>
  <c r="E16" i="111"/>
  <c r="F16" i="111" s="1"/>
  <c r="G16" i="111" s="1"/>
  <c r="J16" i="111" s="1"/>
  <c r="E15" i="111"/>
  <c r="F15" i="111" s="1"/>
  <c r="G15" i="111" s="1"/>
  <c r="J15" i="111" s="1"/>
  <c r="D19" i="111"/>
  <c r="E13" i="111"/>
  <c r="F13" i="111" s="1"/>
  <c r="E16" i="109"/>
  <c r="F16" i="109" s="1"/>
  <c r="G16" i="109" s="1"/>
  <c r="J16" i="109" s="1"/>
  <c r="E17" i="109"/>
  <c r="F17" i="109" s="1"/>
  <c r="G17" i="109" s="1"/>
  <c r="J17" i="109" s="1"/>
  <c r="E18" i="109"/>
  <c r="F18" i="109" s="1"/>
  <c r="G18" i="109" s="1"/>
  <c r="J18" i="109" s="1"/>
  <c r="C19" i="109"/>
  <c r="D18" i="106"/>
  <c r="C18" i="106"/>
  <c r="E17" i="106"/>
  <c r="F17" i="106" s="1"/>
  <c r="G17" i="106" s="1"/>
  <c r="J17" i="106" s="1"/>
  <c r="E16" i="106"/>
  <c r="F16" i="106" s="1"/>
  <c r="G16" i="106" s="1"/>
  <c r="J16" i="106" s="1"/>
  <c r="E15" i="106"/>
  <c r="F15" i="106" s="1"/>
  <c r="G15" i="106" s="1"/>
  <c r="E13" i="106"/>
  <c r="F13" i="106" s="1"/>
  <c r="C19" i="105"/>
  <c r="E18" i="105"/>
  <c r="F18" i="105" s="1"/>
  <c r="G18" i="105" s="1"/>
  <c r="J18" i="105" s="1"/>
  <c r="E17" i="105"/>
  <c r="F17" i="105" s="1"/>
  <c r="G17" i="105" s="1"/>
  <c r="J17" i="105" s="1"/>
  <c r="E16" i="105"/>
  <c r="F16" i="105" s="1"/>
  <c r="G16" i="105" s="1"/>
  <c r="J16" i="105" s="1"/>
  <c r="E15" i="105"/>
  <c r="F15" i="105" s="1"/>
  <c r="G15" i="105" s="1"/>
  <c r="J15" i="105" s="1"/>
  <c r="E14" i="105"/>
  <c r="F14" i="105" s="1"/>
  <c r="G14" i="105" s="1"/>
  <c r="J14" i="105" s="1"/>
  <c r="E13" i="105"/>
  <c r="F13" i="105" s="1"/>
  <c r="E13" i="104"/>
  <c r="F13" i="104" s="1"/>
  <c r="G13" i="104" s="1"/>
  <c r="D19" i="104"/>
  <c r="C19" i="104"/>
  <c r="E18" i="104"/>
  <c r="F18" i="104" s="1"/>
  <c r="G18" i="104" s="1"/>
  <c r="J18" i="104" s="1"/>
  <c r="E17" i="104"/>
  <c r="F17" i="104" s="1"/>
  <c r="G17" i="104" s="1"/>
  <c r="J17" i="104" s="1"/>
  <c r="E16" i="104"/>
  <c r="F16" i="104" s="1"/>
  <c r="G16" i="104" s="1"/>
  <c r="J16" i="104" s="1"/>
  <c r="E14" i="104"/>
  <c r="F14" i="104" s="1"/>
  <c r="G14" i="104" s="1"/>
  <c r="J14" i="104" s="1"/>
  <c r="D19" i="103"/>
  <c r="C19" i="103"/>
  <c r="E18" i="103"/>
  <c r="F18" i="103" s="1"/>
  <c r="G18" i="103" s="1"/>
  <c r="J18" i="103" s="1"/>
  <c r="E17" i="103"/>
  <c r="F17" i="103" s="1"/>
  <c r="G17" i="103" s="1"/>
  <c r="J17" i="103" s="1"/>
  <c r="E16" i="103"/>
  <c r="F16" i="103" s="1"/>
  <c r="G16" i="103" s="1"/>
  <c r="J16" i="103" s="1"/>
  <c r="E15" i="103"/>
  <c r="F15" i="103" s="1"/>
  <c r="G15" i="103" s="1"/>
  <c r="J15" i="103" s="1"/>
  <c r="E14" i="103"/>
  <c r="F14" i="103" s="1"/>
  <c r="G14" i="103" s="1"/>
  <c r="J14" i="103" s="1"/>
  <c r="E13" i="103"/>
  <c r="F13" i="103" s="1"/>
  <c r="G13" i="103" s="1"/>
  <c r="E14" i="98"/>
  <c r="F14" i="98" s="1"/>
  <c r="G14" i="98" s="1"/>
  <c r="C18" i="101"/>
  <c r="E17" i="101"/>
  <c r="F17" i="101" s="1"/>
  <c r="G17" i="101" s="1"/>
  <c r="J17" i="101" s="1"/>
  <c r="E16" i="101"/>
  <c r="F16" i="101" s="1"/>
  <c r="G16" i="101" s="1"/>
  <c r="J16" i="101" s="1"/>
  <c r="E15" i="101"/>
  <c r="F15" i="101" s="1"/>
  <c r="G15" i="101" s="1"/>
  <c r="J15" i="101" s="1"/>
  <c r="E13" i="101"/>
  <c r="F13" i="101" s="1"/>
  <c r="G13" i="101" s="1"/>
  <c r="J13" i="101" s="1"/>
  <c r="E14" i="101"/>
  <c r="E14" i="100"/>
  <c r="F14" i="100" s="1"/>
  <c r="G14" i="100" s="1"/>
  <c r="J14" i="100" s="1"/>
  <c r="J23" i="100" s="1"/>
  <c r="C19" i="100"/>
  <c r="E18" i="100"/>
  <c r="F18" i="100" s="1"/>
  <c r="G18" i="100" s="1"/>
  <c r="J18" i="100" s="1"/>
  <c r="E17" i="100"/>
  <c r="F17" i="100" s="1"/>
  <c r="G17" i="100" s="1"/>
  <c r="J17" i="100" s="1"/>
  <c r="E16" i="100"/>
  <c r="F16" i="100" s="1"/>
  <c r="G16" i="100" s="1"/>
  <c r="J16" i="100" s="1"/>
  <c r="E15" i="100"/>
  <c r="F15" i="100" s="1"/>
  <c r="G15" i="100" s="1"/>
  <c r="J15" i="100" s="1"/>
  <c r="E13" i="100"/>
  <c r="F13" i="100" s="1"/>
  <c r="C19" i="98"/>
  <c r="E18" i="98"/>
  <c r="F18" i="98" s="1"/>
  <c r="G18" i="98" s="1"/>
  <c r="J18" i="98" s="1"/>
  <c r="E17" i="98"/>
  <c r="F17" i="98" s="1"/>
  <c r="G17" i="98" s="1"/>
  <c r="J17" i="98" s="1"/>
  <c r="E16" i="98"/>
  <c r="F16" i="98" s="1"/>
  <c r="G16" i="98" s="1"/>
  <c r="J16" i="98" s="1"/>
  <c r="E13" i="98"/>
  <c r="F13" i="98" s="1"/>
  <c r="G13" i="98" s="1"/>
  <c r="J13" i="98" s="1"/>
  <c r="E18" i="94"/>
  <c r="F18" i="94" s="1"/>
  <c r="G18" i="94" s="1"/>
  <c r="E17" i="94"/>
  <c r="F17" i="94" s="1"/>
  <c r="G17" i="94" s="1"/>
  <c r="J17" i="94" s="1"/>
  <c r="J15" i="106" l="1"/>
  <c r="B1" i="124"/>
  <c r="B3" i="124" s="1"/>
  <c r="B5" i="124" s="1"/>
  <c r="B7" i="124" s="1"/>
  <c r="B9" i="124" s="1"/>
  <c r="F14" i="123"/>
  <c r="G14" i="123" s="1"/>
  <c r="F2" i="123"/>
  <c r="B1" i="116"/>
  <c r="B3" i="116" s="1"/>
  <c r="F2" i="116" s="1"/>
  <c r="F2" i="132"/>
  <c r="G54" i="94"/>
  <c r="G55" i="94"/>
  <c r="E20" i="136"/>
  <c r="B5" i="136"/>
  <c r="G23" i="116"/>
  <c r="J13" i="116"/>
  <c r="B1" i="120"/>
  <c r="B3" i="120" s="1"/>
  <c r="B5" i="120" s="1"/>
  <c r="B7" i="120" s="1"/>
  <c r="B9" i="120" s="1"/>
  <c r="F2" i="129"/>
  <c r="B7" i="129"/>
  <c r="B9" i="129" s="1"/>
  <c r="C5" i="129"/>
  <c r="B1" i="122"/>
  <c r="B3" i="122" s="1"/>
  <c r="G2" i="122" s="1"/>
  <c r="B5" i="114"/>
  <c r="G19" i="98"/>
  <c r="J45" i="94"/>
  <c r="I50" i="94"/>
  <c r="G50" i="94"/>
  <c r="J75" i="107"/>
  <c r="J23" i="125"/>
  <c r="I25" i="121"/>
  <c r="F14" i="121"/>
  <c r="G14" i="121" s="1"/>
  <c r="J14" i="121" s="1"/>
  <c r="J25" i="147"/>
  <c r="J13" i="132"/>
  <c r="J24" i="132" s="1"/>
  <c r="G24" i="132"/>
  <c r="G23" i="104"/>
  <c r="G25" i="104" s="1"/>
  <c r="I25" i="104"/>
  <c r="H25" i="126"/>
  <c r="I25" i="126"/>
  <c r="I25" i="125"/>
  <c r="I25" i="120"/>
  <c r="F2" i="120"/>
  <c r="F2" i="140"/>
  <c r="J13" i="140"/>
  <c r="J24" i="140" s="1"/>
  <c r="J25" i="140" s="1"/>
  <c r="G24" i="140"/>
  <c r="G25" i="140" s="1"/>
  <c r="G19" i="140"/>
  <c r="F18" i="139"/>
  <c r="G18" i="139"/>
  <c r="J13" i="139"/>
  <c r="J22" i="139" s="1"/>
  <c r="J24" i="139" s="1"/>
  <c r="F18" i="138"/>
  <c r="G18" i="138"/>
  <c r="J13" i="138"/>
  <c r="J22" i="138" s="1"/>
  <c r="J24" i="138" s="1"/>
  <c r="F18" i="137"/>
  <c r="G14" i="137"/>
  <c r="J24" i="101"/>
  <c r="H25" i="121"/>
  <c r="H25" i="115"/>
  <c r="I25" i="115"/>
  <c r="J13" i="103"/>
  <c r="J23" i="103"/>
  <c r="F19" i="134"/>
  <c r="J14" i="134"/>
  <c r="J24" i="134" s="1"/>
  <c r="J25" i="134" s="1"/>
  <c r="G24" i="134"/>
  <c r="G25" i="134" s="1"/>
  <c r="F2" i="134"/>
  <c r="H24" i="106"/>
  <c r="H25" i="118"/>
  <c r="I25" i="118"/>
  <c r="J74" i="133"/>
  <c r="L57" i="133"/>
  <c r="I62" i="133"/>
  <c r="H62" i="133"/>
  <c r="H2" i="133"/>
  <c r="H25" i="114"/>
  <c r="B1" i="104"/>
  <c r="B3" i="104" s="1"/>
  <c r="K30" i="117"/>
  <c r="G23" i="100"/>
  <c r="H25" i="104"/>
  <c r="J25" i="122"/>
  <c r="I25" i="100"/>
  <c r="H25" i="111"/>
  <c r="I25" i="111"/>
  <c r="B1" i="126"/>
  <c r="B3" i="126" s="1"/>
  <c r="G22" i="101"/>
  <c r="G24" i="101" s="1"/>
  <c r="I25" i="116"/>
  <c r="H25" i="112"/>
  <c r="H24" i="101"/>
  <c r="I25" i="113"/>
  <c r="I25" i="112"/>
  <c r="I24" i="101"/>
  <c r="E19" i="132"/>
  <c r="E20" i="132" s="1"/>
  <c r="J13" i="131"/>
  <c r="J23" i="131" s="1"/>
  <c r="J25" i="131" s="1"/>
  <c r="G23" i="131"/>
  <c r="G25" i="131" s="1"/>
  <c r="G19" i="131"/>
  <c r="B1" i="128"/>
  <c r="B5" i="128" s="1"/>
  <c r="F3" i="128" s="1"/>
  <c r="E19" i="129"/>
  <c r="E20" i="129" s="1"/>
  <c r="J13" i="129"/>
  <c r="B1" i="117"/>
  <c r="E13" i="94"/>
  <c r="F13" i="94" s="1"/>
  <c r="G13" i="94" s="1"/>
  <c r="J13" i="94" s="1"/>
  <c r="J23" i="94" s="1"/>
  <c r="C19" i="94"/>
  <c r="B1" i="105"/>
  <c r="B3" i="105" s="1"/>
  <c r="B5" i="105" s="1"/>
  <c r="B7" i="105" s="1"/>
  <c r="B9" i="105" s="1"/>
  <c r="I25" i="105"/>
  <c r="H25" i="105"/>
  <c r="I25" i="114"/>
  <c r="E19" i="128"/>
  <c r="E20" i="128" s="1"/>
  <c r="F19" i="128"/>
  <c r="G23" i="103"/>
  <c r="H25" i="127"/>
  <c r="I24" i="106"/>
  <c r="D19" i="112"/>
  <c r="B1" i="112" s="1"/>
  <c r="B3" i="112" s="1"/>
  <c r="I25" i="127"/>
  <c r="E19" i="127"/>
  <c r="E20" i="127" s="1"/>
  <c r="B1" i="127"/>
  <c r="B3" i="127" s="1"/>
  <c r="F2" i="127" s="1"/>
  <c r="F19" i="127"/>
  <c r="I25" i="98"/>
  <c r="H25" i="98"/>
  <c r="H25" i="113"/>
  <c r="E19" i="126"/>
  <c r="E20" i="126" s="1"/>
  <c r="G13" i="126"/>
  <c r="J13" i="126" s="1"/>
  <c r="J23" i="126" s="1"/>
  <c r="F19" i="126"/>
  <c r="H25" i="125"/>
  <c r="B1" i="125"/>
  <c r="F13" i="125"/>
  <c r="F14" i="125"/>
  <c r="G14" i="125" s="1"/>
  <c r="J14" i="125" s="1"/>
  <c r="G24" i="103"/>
  <c r="I25" i="103"/>
  <c r="H25" i="103"/>
  <c r="H25" i="124"/>
  <c r="I25" i="124"/>
  <c r="E19" i="124"/>
  <c r="E20" i="124" s="1"/>
  <c r="G13" i="124"/>
  <c r="F19" i="124"/>
  <c r="I26" i="123"/>
  <c r="H26" i="123"/>
  <c r="B1" i="123"/>
  <c r="E14" i="109"/>
  <c r="G14" i="109" s="1"/>
  <c r="J14" i="109" s="1"/>
  <c r="E13" i="109"/>
  <c r="F13" i="109" s="1"/>
  <c r="G13" i="109" s="1"/>
  <c r="J13" i="109" s="1"/>
  <c r="I25" i="109"/>
  <c r="H25" i="109"/>
  <c r="E19" i="112"/>
  <c r="E20" i="112" s="1"/>
  <c r="I25" i="94"/>
  <c r="H25" i="94"/>
  <c r="H25" i="122"/>
  <c r="I25" i="122"/>
  <c r="B5" i="122"/>
  <c r="B7" i="122" s="1"/>
  <c r="B9" i="122" s="1"/>
  <c r="F19" i="122"/>
  <c r="G19" i="122"/>
  <c r="G23" i="122"/>
  <c r="G25" i="122" s="1"/>
  <c r="E19" i="121"/>
  <c r="E20" i="121" s="1"/>
  <c r="B1" i="121"/>
  <c r="B3" i="121" s="1"/>
  <c r="B5" i="121" s="1"/>
  <c r="B7" i="121" s="1"/>
  <c r="B9" i="121" s="1"/>
  <c r="E19" i="120"/>
  <c r="E20" i="120" s="1"/>
  <c r="G13" i="120"/>
  <c r="G24" i="120" s="1"/>
  <c r="F14" i="120"/>
  <c r="G14" i="120" s="1"/>
  <c r="J14" i="120" s="1"/>
  <c r="D19" i="94"/>
  <c r="B3" i="106"/>
  <c r="B1" i="118"/>
  <c r="B3" i="118" s="1"/>
  <c r="B5" i="118" s="1"/>
  <c r="B7" i="118" s="1"/>
  <c r="B9" i="118" s="1"/>
  <c r="F19" i="118"/>
  <c r="G23" i="118"/>
  <c r="G25" i="118" s="1"/>
  <c r="J16" i="118"/>
  <c r="E19" i="118"/>
  <c r="E20" i="118" s="1"/>
  <c r="E24" i="117"/>
  <c r="E25" i="117" s="1"/>
  <c r="F19" i="116"/>
  <c r="E19" i="116"/>
  <c r="E20" i="116" s="1"/>
  <c r="B1" i="115"/>
  <c r="E19" i="115"/>
  <c r="E20" i="115" s="1"/>
  <c r="G13" i="115"/>
  <c r="F15" i="115"/>
  <c r="G15" i="115" s="1"/>
  <c r="F13" i="112"/>
  <c r="G13" i="112" s="1"/>
  <c r="G18" i="114"/>
  <c r="J18" i="114" s="1"/>
  <c r="G17" i="114"/>
  <c r="J17" i="114" s="1"/>
  <c r="G16" i="114"/>
  <c r="J16" i="114" s="1"/>
  <c r="J14" i="114"/>
  <c r="E19" i="114"/>
  <c r="E20" i="114" s="1"/>
  <c r="F13" i="114"/>
  <c r="G13" i="114" s="1"/>
  <c r="F64" i="107"/>
  <c r="B1" i="113"/>
  <c r="B3" i="113" s="1"/>
  <c r="G13" i="113"/>
  <c r="G23" i="113" s="1"/>
  <c r="G25" i="113" s="1"/>
  <c r="F19" i="113"/>
  <c r="E19" i="113"/>
  <c r="E20" i="113" s="1"/>
  <c r="B1" i="111"/>
  <c r="B3" i="111" s="1"/>
  <c r="F2" i="111" s="1"/>
  <c r="G13" i="111"/>
  <c r="G23" i="111" s="1"/>
  <c r="G25" i="111" s="1"/>
  <c r="E14" i="111"/>
  <c r="F14" i="111" s="1"/>
  <c r="G14" i="111" s="1"/>
  <c r="J14" i="111" s="1"/>
  <c r="B1" i="109"/>
  <c r="B3" i="109" s="1"/>
  <c r="B5" i="109" s="1"/>
  <c r="B7" i="109" s="1"/>
  <c r="F18" i="106"/>
  <c r="G13" i="106"/>
  <c r="E18" i="106"/>
  <c r="E19" i="106" s="1"/>
  <c r="G13" i="105"/>
  <c r="G24" i="105" s="1"/>
  <c r="F19" i="105"/>
  <c r="E19" i="105"/>
  <c r="E20" i="105" s="1"/>
  <c r="E19" i="104"/>
  <c r="E20" i="104" s="1"/>
  <c r="G19" i="104"/>
  <c r="J13" i="104"/>
  <c r="J23" i="104" s="1"/>
  <c r="J25" i="104" s="1"/>
  <c r="F19" i="104"/>
  <c r="F19" i="103"/>
  <c r="B1" i="103"/>
  <c r="B3" i="103" s="1"/>
  <c r="F2" i="103" s="1"/>
  <c r="E19" i="103"/>
  <c r="E20" i="103" s="1"/>
  <c r="G19" i="103"/>
  <c r="E19" i="98"/>
  <c r="E20" i="98" s="1"/>
  <c r="B1" i="98"/>
  <c r="E18" i="101"/>
  <c r="E19" i="101" s="1"/>
  <c r="F14" i="101"/>
  <c r="D18" i="101"/>
  <c r="B1" i="101" s="1"/>
  <c r="B3" i="101" s="1"/>
  <c r="D19" i="100"/>
  <c r="B1" i="100" s="1"/>
  <c r="B3" i="100" s="1"/>
  <c r="B5" i="100" s="1"/>
  <c r="B7" i="100" s="1"/>
  <c r="B9" i="100" s="1"/>
  <c r="E19" i="100"/>
  <c r="E20" i="100" s="1"/>
  <c r="B7" i="114" l="1"/>
  <c r="G23" i="106"/>
  <c r="J13" i="106"/>
  <c r="B5" i="106"/>
  <c r="F2" i="106"/>
  <c r="F3" i="106" s="1"/>
  <c r="G28" i="117"/>
  <c r="G30" i="117" s="1"/>
  <c r="G22" i="106"/>
  <c r="J24" i="94"/>
  <c r="J25" i="94" s="1"/>
  <c r="G23" i="124"/>
  <c r="F2" i="124"/>
  <c r="G56" i="94"/>
  <c r="B3" i="115"/>
  <c r="F2" i="115" s="1"/>
  <c r="B3" i="123"/>
  <c r="B5" i="123" s="1"/>
  <c r="B7" i="123" s="1"/>
  <c r="B9" i="123" s="1"/>
  <c r="J14" i="123"/>
  <c r="G23" i="112"/>
  <c r="G25" i="112" s="1"/>
  <c r="J13" i="112"/>
  <c r="J14" i="129"/>
  <c r="B7" i="128"/>
  <c r="B9" i="128" s="1"/>
  <c r="F2" i="136"/>
  <c r="B7" i="136"/>
  <c r="B9" i="136" s="1"/>
  <c r="B5" i="126"/>
  <c r="B7" i="126" s="1"/>
  <c r="B9" i="126" s="1"/>
  <c r="G87" i="107"/>
  <c r="B1" i="94"/>
  <c r="B3" i="94" s="1"/>
  <c r="B5" i="94" s="1"/>
  <c r="B7" i="94" s="1"/>
  <c r="B9" i="94" s="1"/>
  <c r="I56" i="94"/>
  <c r="G23" i="94"/>
  <c r="E20" i="123"/>
  <c r="E21" i="123" s="1"/>
  <c r="J24" i="103"/>
  <c r="J25" i="103" s="1"/>
  <c r="G23" i="115"/>
  <c r="G25" i="115" s="1"/>
  <c r="J13" i="115"/>
  <c r="B3" i="117"/>
  <c r="B7" i="117" s="1"/>
  <c r="B9" i="117" s="1"/>
  <c r="B3" i="125"/>
  <c r="B5" i="125" s="1"/>
  <c r="B7" i="125" s="1"/>
  <c r="B9" i="125" s="1"/>
  <c r="B9" i="114"/>
  <c r="F2" i="109"/>
  <c r="B5" i="104"/>
  <c r="B7" i="104" s="1"/>
  <c r="B9" i="104" s="1"/>
  <c r="F2" i="104"/>
  <c r="B5" i="113"/>
  <c r="B7" i="113" s="1"/>
  <c r="B9" i="113" s="1"/>
  <c r="F2" i="113"/>
  <c r="F2" i="126"/>
  <c r="J14" i="137"/>
  <c r="G18" i="137"/>
  <c r="B3" i="128"/>
  <c r="F2" i="128" s="1"/>
  <c r="B3" i="98"/>
  <c r="B5" i="98" s="1"/>
  <c r="F19" i="132"/>
  <c r="G14" i="129"/>
  <c r="F19" i="129"/>
  <c r="C7" i="129" s="1"/>
  <c r="E19" i="94"/>
  <c r="E20" i="94" s="1"/>
  <c r="J13" i="114"/>
  <c r="G23" i="114"/>
  <c r="G25" i="114" s="1"/>
  <c r="G23" i="128"/>
  <c r="G25" i="128" s="1"/>
  <c r="G19" i="128"/>
  <c r="G25" i="103"/>
  <c r="B5" i="127"/>
  <c r="B7" i="127" s="1"/>
  <c r="B9" i="127" s="1"/>
  <c r="J13" i="127"/>
  <c r="G23" i="127"/>
  <c r="G25" i="127" s="1"/>
  <c r="G19" i="127"/>
  <c r="G23" i="126"/>
  <c r="G25" i="126" s="1"/>
  <c r="G19" i="126"/>
  <c r="J25" i="126"/>
  <c r="G13" i="125"/>
  <c r="J13" i="125" s="1"/>
  <c r="J19" i="125" s="1"/>
  <c r="F19" i="125"/>
  <c r="E19" i="125"/>
  <c r="E20" i="125" s="1"/>
  <c r="B5" i="103"/>
  <c r="B7" i="103" s="1"/>
  <c r="B9" i="103" s="1"/>
  <c r="G24" i="124"/>
  <c r="G25" i="124" s="1"/>
  <c r="G19" i="124"/>
  <c r="J13" i="124"/>
  <c r="F20" i="123"/>
  <c r="G24" i="123"/>
  <c r="G26" i="123" s="1"/>
  <c r="G20" i="123"/>
  <c r="J24" i="123"/>
  <c r="J26" i="123" s="1"/>
  <c r="F19" i="109"/>
  <c r="G19" i="109"/>
  <c r="G23" i="109" s="1"/>
  <c r="G25" i="109" s="1"/>
  <c r="E19" i="109"/>
  <c r="E20" i="109" s="1"/>
  <c r="J19" i="109"/>
  <c r="J23" i="109" s="1"/>
  <c r="J25" i="109" s="1"/>
  <c r="F2" i="112"/>
  <c r="F19" i="112"/>
  <c r="G23" i="105"/>
  <c r="G25" i="105" s="1"/>
  <c r="G24" i="94"/>
  <c r="G2" i="121"/>
  <c r="F19" i="121"/>
  <c r="G13" i="121"/>
  <c r="G23" i="121" s="1"/>
  <c r="G25" i="120"/>
  <c r="G19" i="120"/>
  <c r="J13" i="120"/>
  <c r="F19" i="120"/>
  <c r="F2" i="118"/>
  <c r="G19" i="118"/>
  <c r="J13" i="118"/>
  <c r="J23" i="118" s="1"/>
  <c r="J25" i="118" s="1"/>
  <c r="F24" i="117"/>
  <c r="B5" i="116"/>
  <c r="B7" i="116" s="1"/>
  <c r="B9" i="116" s="1"/>
  <c r="G25" i="116"/>
  <c r="G19" i="116"/>
  <c r="J23" i="116"/>
  <c r="J25" i="116" s="1"/>
  <c r="F19" i="115"/>
  <c r="G19" i="115"/>
  <c r="F2" i="105"/>
  <c r="G19" i="114"/>
  <c r="F19" i="114"/>
  <c r="J13" i="113"/>
  <c r="J23" i="113" s="1"/>
  <c r="J25" i="113" s="1"/>
  <c r="G19" i="113"/>
  <c r="B5" i="112"/>
  <c r="B7" i="112" s="1"/>
  <c r="B9" i="112" s="1"/>
  <c r="G19" i="112"/>
  <c r="B5" i="111"/>
  <c r="B7" i="111" s="1"/>
  <c r="B9" i="111" s="1"/>
  <c r="E19" i="111"/>
  <c r="E20" i="111" s="1"/>
  <c r="F19" i="111"/>
  <c r="J13" i="111"/>
  <c r="J23" i="111" s="1"/>
  <c r="J25" i="111" s="1"/>
  <c r="G19" i="111"/>
  <c r="G18" i="106"/>
  <c r="J23" i="106"/>
  <c r="J13" i="105"/>
  <c r="G19" i="105"/>
  <c r="B5" i="101"/>
  <c r="B7" i="101" s="1"/>
  <c r="B9" i="101" s="1"/>
  <c r="F2" i="101"/>
  <c r="F18" i="101"/>
  <c r="G14" i="101"/>
  <c r="F2" i="100"/>
  <c r="F19" i="100"/>
  <c r="G13" i="100"/>
  <c r="G24" i="100" s="1"/>
  <c r="G25" i="100" s="1"/>
  <c r="F19" i="98"/>
  <c r="F19" i="94"/>
  <c r="B7" i="106" l="1"/>
  <c r="B9" i="106" s="1"/>
  <c r="J22" i="106"/>
  <c r="B5" i="115"/>
  <c r="B7" i="115" s="1"/>
  <c r="B9" i="115" s="1"/>
  <c r="F3" i="105"/>
  <c r="F6" i="105"/>
  <c r="B7" i="98"/>
  <c r="J23" i="114"/>
  <c r="J25" i="114" s="1"/>
  <c r="J56" i="94"/>
  <c r="G25" i="94"/>
  <c r="B9" i="109"/>
  <c r="F2" i="117"/>
  <c r="B5" i="117"/>
  <c r="F2" i="125"/>
  <c r="F2" i="114"/>
  <c r="F2" i="98"/>
  <c r="G23" i="132"/>
  <c r="G25" i="132" s="1"/>
  <c r="J23" i="132"/>
  <c r="J25" i="132" s="1"/>
  <c r="J23" i="129"/>
  <c r="J25" i="129" s="1"/>
  <c r="G23" i="129"/>
  <c r="G25" i="129" s="1"/>
  <c r="G19" i="129"/>
  <c r="C9" i="129" s="1"/>
  <c r="F2" i="94"/>
  <c r="J23" i="105"/>
  <c r="J24" i="105"/>
  <c r="G24" i="106"/>
  <c r="J23" i="127"/>
  <c r="J25" i="127" s="1"/>
  <c r="J23" i="120"/>
  <c r="J24" i="120"/>
  <c r="G23" i="125"/>
  <c r="G25" i="125" s="1"/>
  <c r="G19" i="125"/>
  <c r="J24" i="124"/>
  <c r="J23" i="124"/>
  <c r="G25" i="121"/>
  <c r="G19" i="121"/>
  <c r="J13" i="121"/>
  <c r="G24" i="117"/>
  <c r="J23" i="112"/>
  <c r="J25" i="112" s="1"/>
  <c r="G18" i="101"/>
  <c r="J14" i="101"/>
  <c r="G19" i="100"/>
  <c r="J13" i="100"/>
  <c r="J24" i="100" s="1"/>
  <c r="J25" i="100" s="1"/>
  <c r="G19" i="94"/>
  <c r="B9" i="98" l="1"/>
  <c r="G25" i="98"/>
  <c r="J25" i="105"/>
  <c r="J24" i="106"/>
  <c r="J25" i="120"/>
  <c r="J25" i="125"/>
  <c r="J25" i="124"/>
</calcChain>
</file>

<file path=xl/sharedStrings.xml><?xml version="1.0" encoding="utf-8"?>
<sst xmlns="http://schemas.openxmlformats.org/spreadsheetml/2006/main" count="2833" uniqueCount="199">
  <si>
    <t>Master</t>
  </si>
  <si>
    <t>Unit</t>
  </si>
  <si>
    <t>Tube</t>
  </si>
  <si>
    <t>Pallets</t>
  </si>
  <si>
    <t>kg</t>
  </si>
  <si>
    <t>Tubes</t>
  </si>
  <si>
    <t>Cases/Pallet</t>
  </si>
  <si>
    <t>kg/tube</t>
  </si>
  <si>
    <t>Units/Master</t>
  </si>
  <si>
    <t>Tubes/Unit</t>
  </si>
  <si>
    <t>Cases</t>
  </si>
  <si>
    <t>Total</t>
  </si>
  <si>
    <t>Reported</t>
  </si>
  <si>
    <t>System</t>
  </si>
  <si>
    <t>Flush</t>
  </si>
  <si>
    <t>Remaining</t>
  </si>
  <si>
    <t>Short</t>
  </si>
  <si>
    <t>Stock correction</t>
  </si>
  <si>
    <t>cases</t>
  </si>
  <si>
    <t>Inventory write-off</t>
  </si>
  <si>
    <t>Source</t>
  </si>
  <si>
    <t>WH2A14G034</t>
  </si>
  <si>
    <t>WH2F28G061</t>
  </si>
  <si>
    <t>WH3B14G033</t>
  </si>
  <si>
    <t>Batch numbers</t>
  </si>
  <si>
    <t>Drum</t>
  </si>
  <si>
    <t>MO qty.</t>
  </si>
  <si>
    <t>Bin</t>
  </si>
  <si>
    <t>Return to stock</t>
  </si>
  <si>
    <t>Pending for Backorder</t>
  </si>
  <si>
    <t>Air Seal Broken, sent to Lanxess</t>
  </si>
  <si>
    <t>Total Cs</t>
  </si>
  <si>
    <t>Stock correction as per actual</t>
  </si>
  <si>
    <t xml:space="preserve">Inventory write-off, bin# 3680 didn't work properly </t>
  </si>
  <si>
    <t xml:space="preserve">Total </t>
  </si>
  <si>
    <t>Inventory Write-off</t>
  </si>
  <si>
    <t>͢</t>
  </si>
  <si>
    <t>Drums</t>
  </si>
  <si>
    <t>WH3D30G069</t>
  </si>
  <si>
    <t>GPTR1</t>
  </si>
  <si>
    <t>GPTR2</t>
  </si>
  <si>
    <t>XDP 460</t>
  </si>
  <si>
    <t>397 g</t>
  </si>
  <si>
    <t>WH3F18G040</t>
  </si>
  <si>
    <t>WH3B04G008</t>
  </si>
  <si>
    <t xml:space="preserve">Unit - blue display package </t>
  </si>
  <si>
    <t>Master - slip cover (outer brown box)</t>
  </si>
  <si>
    <t>WH1J12G030</t>
  </si>
  <si>
    <t>Stock</t>
  </si>
  <si>
    <t xml:space="preserve">Unit  </t>
  </si>
  <si>
    <t>Master (N/A)</t>
  </si>
  <si>
    <t>CCL-23291</t>
  </si>
  <si>
    <t>None</t>
  </si>
  <si>
    <t>WH3D01G005</t>
  </si>
  <si>
    <t>WH2K14G028</t>
  </si>
  <si>
    <t>WH3H17G016</t>
  </si>
  <si>
    <t>Used</t>
  </si>
  <si>
    <t>CCL-23317</t>
  </si>
  <si>
    <t>Dispensed</t>
  </si>
  <si>
    <t>Keg Number</t>
  </si>
  <si>
    <t>CCL-23318</t>
  </si>
  <si>
    <t>Kg real</t>
  </si>
  <si>
    <t>Pending to scrap</t>
  </si>
  <si>
    <t>WH3K31G058</t>
  </si>
  <si>
    <t>WH3L11G021</t>
  </si>
  <si>
    <t>WH3L29G047</t>
  </si>
  <si>
    <t>average (109-112)</t>
  </si>
  <si>
    <t>WH3F27G060</t>
  </si>
  <si>
    <t>Pails</t>
  </si>
  <si>
    <t>WH3K22G041</t>
  </si>
  <si>
    <t>Returned to stock</t>
  </si>
  <si>
    <t>WH3L03G004</t>
  </si>
  <si>
    <t>WH6G12G022</t>
  </si>
  <si>
    <t>WH4B03G009</t>
  </si>
  <si>
    <t>WH4B13G028</t>
  </si>
  <si>
    <t>WH1K25G043</t>
  </si>
  <si>
    <t>BATCH # 3</t>
  </si>
  <si>
    <t>BATCH # 2</t>
  </si>
  <si>
    <t>Tube (83588095)</t>
  </si>
  <si>
    <t>Master - Outer case (82089012)</t>
  </si>
  <si>
    <t>Unit box - Inner case</t>
  </si>
  <si>
    <t>Inserts</t>
  </si>
  <si>
    <t>N/A</t>
  </si>
  <si>
    <t>Insert/box</t>
  </si>
  <si>
    <t>WH4C13G030</t>
  </si>
  <si>
    <t>WH4C23G050</t>
  </si>
  <si>
    <t>360 kg will be returned to Lanxess +115 kg Inventory write-off</t>
  </si>
  <si>
    <t>Keg</t>
  </si>
  <si>
    <t>Keg/Pallet</t>
  </si>
  <si>
    <t>Kegs</t>
  </si>
  <si>
    <t>kg/keg</t>
  </si>
  <si>
    <t>Pail</t>
  </si>
  <si>
    <t>Pail/Pallet</t>
  </si>
  <si>
    <t>kg/pail</t>
  </si>
  <si>
    <t>WH1B09G029</t>
  </si>
  <si>
    <t>XDP 680</t>
  </si>
  <si>
    <t>WH4A22G048</t>
  </si>
  <si>
    <t>GWRCR</t>
  </si>
  <si>
    <t>GLCCR</t>
  </si>
  <si>
    <t>WH4E13G019</t>
  </si>
  <si>
    <t>WH4E12G018</t>
  </si>
  <si>
    <t>WH4E25G049</t>
  </si>
  <si>
    <t>Return to Customer</t>
  </si>
  <si>
    <t>WH4F02G005</t>
  </si>
  <si>
    <t>WH4G05G010</t>
  </si>
  <si>
    <t>Jars</t>
  </si>
  <si>
    <t>Jar/Unit</t>
  </si>
  <si>
    <t>Batch 3</t>
  </si>
  <si>
    <t>CC-09-06-24</t>
  </si>
  <si>
    <t>Wrong number of drums received in MISys</t>
  </si>
  <si>
    <t>SO …</t>
  </si>
  <si>
    <t>Batch 3 = ... cases (MO ...) -- Completed</t>
  </si>
  <si>
    <t>Batch 2 = ... cases (MO ...) -- Completed</t>
  </si>
  <si>
    <t>Batch 1 = ... cases (MO ...) -- Completed</t>
  </si>
  <si>
    <t>Batch 3 of 3:</t>
  </si>
  <si>
    <t>CC-07-10-24</t>
  </si>
  <si>
    <t>SO qty.</t>
  </si>
  <si>
    <t>WH4K10G025</t>
  </si>
  <si>
    <t>WH4L28G072</t>
  </si>
  <si>
    <t>P471</t>
  </si>
  <si>
    <t>WH4K21G049</t>
  </si>
  <si>
    <t>WH4L23G057</t>
  </si>
  <si>
    <t>WH4M03G003</t>
  </si>
  <si>
    <t>WH1M19G043</t>
  </si>
  <si>
    <t>WH2K22G049</t>
  </si>
  <si>
    <t xml:space="preserve">Master </t>
  </si>
  <si>
    <t xml:space="preserve">Unit </t>
  </si>
  <si>
    <t>WH4M22G044</t>
  </si>
  <si>
    <t>WH5A04G008</t>
  </si>
  <si>
    <t>WH5A18G040</t>
  </si>
  <si>
    <t>G-2329-2</t>
  </si>
  <si>
    <t>WH5A21G045</t>
  </si>
  <si>
    <t>G-2321-2</t>
  </si>
  <si>
    <t>WH5A28G062</t>
  </si>
  <si>
    <t>G-2132-2</t>
  </si>
  <si>
    <t>G-2240-2</t>
  </si>
  <si>
    <t>OG2</t>
  </si>
  <si>
    <t>WH5B25G049</t>
  </si>
  <si>
    <t># of pallets</t>
  </si>
  <si>
    <t>Last time used</t>
  </si>
  <si>
    <t>Shell SRS 2000 Moly </t>
  </si>
  <si>
    <t>Product name</t>
  </si>
  <si>
    <t>Item</t>
  </si>
  <si>
    <t>Unit boxes</t>
  </si>
  <si>
    <t>11 pallets (171 cases)</t>
  </si>
  <si>
    <t>1 pallet (~1,550 unit boxes)</t>
  </si>
  <si>
    <t>Shell Gadus</t>
  </si>
  <si>
    <t>5 pallets (81 cases)</t>
  </si>
  <si>
    <t>5 pallets (~5,600 unit boxes)</t>
  </si>
  <si>
    <t xml:space="preserve"> Apr 2024</t>
  </si>
  <si>
    <t xml:space="preserve"> March 2023</t>
  </si>
  <si>
    <t>Made</t>
  </si>
  <si>
    <t>inventory write-off</t>
  </si>
  <si>
    <t>WH5C24G060</t>
  </si>
  <si>
    <t>none</t>
  </si>
  <si>
    <t xml:space="preserve">inventory write-off </t>
  </si>
  <si>
    <t>WH3A22G041</t>
  </si>
  <si>
    <t>drum</t>
  </si>
  <si>
    <t>WH5D04G019</t>
  </si>
  <si>
    <t>G-2243-2</t>
  </si>
  <si>
    <t xml:space="preserve">none </t>
  </si>
  <si>
    <t>Kegs/Pallet</t>
  </si>
  <si>
    <t>WH5B14G027</t>
  </si>
  <si>
    <t>VSG (G-21226-1)</t>
  </si>
  <si>
    <t>G-2151-2</t>
  </si>
  <si>
    <t>WH5D17G047</t>
  </si>
  <si>
    <t>WH5D25G066</t>
  </si>
  <si>
    <t>G-2323-2</t>
  </si>
  <si>
    <t>WH5D21G055</t>
  </si>
  <si>
    <t>G-2080-2</t>
  </si>
  <si>
    <t>inventory write off</t>
  </si>
  <si>
    <t>WH5D23G060</t>
  </si>
  <si>
    <t>WH5E02G002</t>
  </si>
  <si>
    <t>WH5E25G056</t>
  </si>
  <si>
    <t>CC-02-31-25</t>
  </si>
  <si>
    <t>WH5F29G060</t>
  </si>
  <si>
    <t>Return to the customer</t>
  </si>
  <si>
    <t>WH5F28G055</t>
  </si>
  <si>
    <t>kg/Pails</t>
  </si>
  <si>
    <t>F25STF2112</t>
  </si>
  <si>
    <t>Pails/Pallet</t>
  </si>
  <si>
    <t>Total Pails</t>
  </si>
  <si>
    <t>CC-08-09-25</t>
  </si>
  <si>
    <t>Write-off Liners</t>
  </si>
  <si>
    <t>Grote 50-pack</t>
  </si>
  <si>
    <t>Grote 12-pack</t>
  </si>
  <si>
    <t>99170-1</t>
  </si>
  <si>
    <t>Grote 12-pack Jars</t>
  </si>
  <si>
    <t>CC-08-06-25</t>
  </si>
  <si>
    <t>WH5J06G013</t>
  </si>
  <si>
    <t>Total made</t>
  </si>
  <si>
    <t>Bins</t>
  </si>
  <si>
    <t>WH5J07G015</t>
  </si>
  <si>
    <t>WH5J16G034</t>
  </si>
  <si>
    <t>WH5J22G053</t>
  </si>
  <si>
    <t>CASE</t>
  </si>
  <si>
    <t xml:space="preserve"> vg</t>
  </si>
  <si>
    <t>BIN</t>
  </si>
  <si>
    <t>P503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</si>
</sst>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4" formatCode="_-&quot;$&quot;* #,##0.00_-;\-&quot;$&quot;* #,##0.00_-;_-&quot;$&quot;* &quot;-&quot;??_-;_-@_-"/>
    <numFmt numFmtId="43" formatCode="_-* #,##0.00_-;\-* #,##0.00_-;_-* &quot;-&quot;??_-;_-@_-"/>
    <numFmt numFmtId="164" formatCode="dddd\,\ mmmm\ dd\,\ yyyy"/>
    <numFmt numFmtId="165" formatCode="#,##0_ ;[Red]\-#,##0\ "/>
    <numFmt numFmtId="166" formatCode="0.0"/>
    <numFmt numFmtId="167" formatCode="#,##0.0_ ;[Red]\-#,##0.0\ "/>
    <numFmt numFmtId="168" formatCode="#,##0.0"/>
    <numFmt numFmtId="169" formatCode="#,##0.000"/>
    <numFmt numFmtId="170" formatCode="#,##0.00_ ;[Red]\-#,##0.00\ "/>
    <numFmt numFmtId="171" formatCode="#,##0.000_ ;[Red]\-#,##0.000\ "/>
    <numFmt numFmtId="172" formatCode="#,##0.0000"/>
    <numFmt numFmtId="173" formatCode="0.000000"/>
    <numFmt numFmtId="174" formatCode="0.00000000000000"/>
    <numFmt numFmtId="175" formatCode="_-&quot;$&quot;* #,##0.000_-;\-&quot;$&quot;* #,##0.000_-;_-&quot;$&quot;* &quot;-&quot;??_-;_-@_-"/>
    <numFmt numFmtId="176" formatCode="0.000"/>
    <numFmt numFmtId="177" formatCode="_-* #,##0_-;\-* #,##0_-;_-* &quot;-&quot;??_-;_-@_-"/>
    <numFmt numFmtId="178" formatCode="_-* #,##0.0_-;\-* #,##0.0_-;_-* &quot;-&quot;??_-;_-@_-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44" fontId="11" fillId="0" borderId="0" applyFont="0" applyFill="0" applyBorder="0" applyAlignment="0" applyProtection="0"/>
  </cellStyleXfs>
  <cellXfs count="239">
    <xf numFmtId="0" fontId="0" fillId="0" borderId="0" xfId="0"/>
    <xf numFmtId="16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left"/>
    </xf>
    <xf numFmtId="9" fontId="4" fillId="0" borderId="0" xfId="0" applyNumberFormat="1" applyFont="1"/>
    <xf numFmtId="0" fontId="1" fillId="0" borderId="1" xfId="0" applyFont="1" applyBorder="1"/>
    <xf numFmtId="0" fontId="0" fillId="0" borderId="1" xfId="0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4" fillId="0" borderId="4" xfId="0" applyNumberFormat="1" applyFont="1" applyBorder="1"/>
    <xf numFmtId="0" fontId="4" fillId="0" borderId="4" xfId="0" applyFont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/>
    </xf>
    <xf numFmtId="3" fontId="0" fillId="0" borderId="2" xfId="0" applyNumberFormat="1" applyBorder="1"/>
    <xf numFmtId="3" fontId="1" fillId="0" borderId="2" xfId="0" applyNumberFormat="1" applyFont="1" applyBorder="1"/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5" fontId="4" fillId="0" borderId="2" xfId="0" applyNumberFormat="1" applyFont="1" applyBorder="1"/>
    <xf numFmtId="3" fontId="4" fillId="0" borderId="2" xfId="0" applyNumberFormat="1" applyFont="1" applyBorder="1"/>
    <xf numFmtId="0" fontId="3" fillId="0" borderId="2" xfId="0" applyFont="1" applyBorder="1"/>
    <xf numFmtId="0" fontId="0" fillId="0" borderId="4" xfId="0" applyBorder="1" applyAlignment="1">
      <alignment horizontal="center"/>
    </xf>
    <xf numFmtId="0" fontId="2" fillId="0" borderId="4" xfId="0" applyFont="1" applyBorder="1"/>
    <xf numFmtId="0" fontId="0" fillId="0" borderId="4" xfId="0" applyBorder="1"/>
    <xf numFmtId="0" fontId="2" fillId="0" borderId="3" xfId="0" applyFont="1" applyBorder="1" applyAlignment="1">
      <alignment horizontal="right"/>
    </xf>
    <xf numFmtId="3" fontId="0" fillId="0" borderId="1" xfId="0" applyNumberFormat="1" applyBorder="1"/>
    <xf numFmtId="0" fontId="1" fillId="2" borderId="1" xfId="0" applyFont="1" applyFill="1" applyBorder="1"/>
    <xf numFmtId="3" fontId="1" fillId="2" borderId="1" xfId="0" applyNumberFormat="1" applyFont="1" applyFill="1" applyBorder="1"/>
    <xf numFmtId="0" fontId="3" fillId="2" borderId="5" xfId="0" applyFont="1" applyFill="1" applyBorder="1" applyAlignment="1">
      <alignment horizontal="center"/>
    </xf>
    <xf numFmtId="3" fontId="4" fillId="2" borderId="5" xfId="0" applyNumberFormat="1" applyFont="1" applyFill="1" applyBorder="1"/>
    <xf numFmtId="3" fontId="3" fillId="2" borderId="5" xfId="0" applyNumberFormat="1" applyFont="1" applyFill="1" applyBorder="1"/>
    <xf numFmtId="165" fontId="4" fillId="2" borderId="5" xfId="0" applyNumberFormat="1" applyFont="1" applyFill="1" applyBorder="1"/>
    <xf numFmtId="0" fontId="3" fillId="2" borderId="5" xfId="0" applyFont="1" applyFill="1" applyBorder="1"/>
    <xf numFmtId="0" fontId="0" fillId="2" borderId="1" xfId="0" applyFill="1" applyBorder="1"/>
    <xf numFmtId="0" fontId="3" fillId="2" borderId="6" xfId="0" applyFont="1" applyFill="1" applyBorder="1" applyAlignment="1">
      <alignment horizontal="center"/>
    </xf>
    <xf numFmtId="165" fontId="4" fillId="2" borderId="6" xfId="0" applyNumberFormat="1" applyFont="1" applyFill="1" applyBorder="1"/>
    <xf numFmtId="0" fontId="3" fillId="2" borderId="6" xfId="0" applyFont="1" applyFill="1" applyBorder="1"/>
    <xf numFmtId="0" fontId="3" fillId="0" borderId="7" xfId="0" applyFont="1" applyBorder="1" applyAlignment="1">
      <alignment horizontal="center"/>
    </xf>
    <xf numFmtId="3" fontId="5" fillId="0" borderId="4" xfId="0" applyNumberFormat="1" applyFont="1" applyBorder="1"/>
    <xf numFmtId="0" fontId="7" fillId="0" borderId="0" xfId="0" applyFont="1"/>
    <xf numFmtId="166" fontId="1" fillId="2" borderId="1" xfId="0" applyNumberFormat="1" applyFont="1" applyFill="1" applyBorder="1"/>
    <xf numFmtId="3" fontId="0" fillId="2" borderId="1" xfId="0" applyNumberFormat="1" applyFill="1" applyBorder="1"/>
    <xf numFmtId="3" fontId="0" fillId="0" borderId="0" xfId="0" applyNumberFormat="1"/>
    <xf numFmtId="0" fontId="6" fillId="0" borderId="0" xfId="0" applyFont="1"/>
    <xf numFmtId="0" fontId="9" fillId="0" borderId="0" xfId="0" applyFont="1"/>
    <xf numFmtId="0" fontId="1" fillId="0" borderId="0" xfId="0" applyFont="1"/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167" fontId="4" fillId="2" borderId="5" xfId="0" applyNumberFormat="1" applyFont="1" applyFill="1" applyBorder="1"/>
    <xf numFmtId="167" fontId="4" fillId="0" borderId="2" xfId="0" applyNumberFormat="1" applyFont="1" applyBorder="1"/>
    <xf numFmtId="43" fontId="0" fillId="0" borderId="0" xfId="1" applyFont="1"/>
    <xf numFmtId="4" fontId="0" fillId="0" borderId="2" xfId="0" applyNumberFormat="1" applyBorder="1"/>
    <xf numFmtId="4" fontId="4" fillId="2" borderId="5" xfId="0" applyNumberFormat="1" applyFont="1" applyFill="1" applyBorder="1"/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3" fontId="0" fillId="0" borderId="2" xfId="0" applyNumberFormat="1" applyBorder="1" applyAlignment="1">
      <alignment horizontal="right" vertical="center"/>
    </xf>
    <xf numFmtId="3" fontId="4" fillId="2" borderId="5" xfId="0" applyNumberFormat="1" applyFont="1" applyFill="1" applyBorder="1" applyAlignment="1">
      <alignment horizontal="right" vertical="center"/>
    </xf>
    <xf numFmtId="3" fontId="4" fillId="0" borderId="4" xfId="0" applyNumberFormat="1" applyFont="1" applyBorder="1" applyAlignment="1">
      <alignment horizontal="right" vertical="center"/>
    </xf>
    <xf numFmtId="165" fontId="4" fillId="0" borderId="2" xfId="0" applyNumberFormat="1" applyFont="1" applyBorder="1" applyAlignment="1">
      <alignment horizontal="right" vertical="center"/>
    </xf>
    <xf numFmtId="0" fontId="1" fillId="5" borderId="0" xfId="0" applyFont="1" applyFill="1" applyAlignment="1">
      <alignment horizontal="center"/>
    </xf>
    <xf numFmtId="168" fontId="1" fillId="2" borderId="1" xfId="0" applyNumberFormat="1" applyFont="1" applyFill="1" applyBorder="1"/>
    <xf numFmtId="168" fontId="0" fillId="0" borderId="2" xfId="0" applyNumberFormat="1" applyBorder="1"/>
    <xf numFmtId="168" fontId="4" fillId="2" borderId="5" xfId="0" applyNumberFormat="1" applyFont="1" applyFill="1" applyBorder="1"/>
    <xf numFmtId="1" fontId="0" fillId="2" borderId="1" xfId="0" applyNumberFormat="1" applyFill="1" applyBorder="1"/>
    <xf numFmtId="0" fontId="12" fillId="2" borderId="1" xfId="0" applyFont="1" applyFill="1" applyBorder="1" applyAlignment="1">
      <alignment horizontal="left"/>
    </xf>
    <xf numFmtId="3" fontId="8" fillId="2" borderId="1" xfId="0" applyNumberFormat="1" applyFont="1" applyFill="1" applyBorder="1" applyAlignment="1">
      <alignment horizontal="right"/>
    </xf>
    <xf numFmtId="3" fontId="8" fillId="2" borderId="1" xfId="0" applyNumberFormat="1" applyFont="1" applyFill="1" applyBorder="1"/>
    <xf numFmtId="165" fontId="0" fillId="0" borderId="0" xfId="0" applyNumberFormat="1"/>
    <xf numFmtId="0" fontId="4" fillId="0" borderId="1" xfId="0" applyFont="1" applyBorder="1"/>
    <xf numFmtId="0" fontId="3" fillId="2" borderId="1" xfId="0" applyFont="1" applyFill="1" applyBorder="1"/>
    <xf numFmtId="0" fontId="13" fillId="0" borderId="1" xfId="0" applyFont="1" applyBorder="1"/>
    <xf numFmtId="0" fontId="1" fillId="0" borderId="0" xfId="0" applyFont="1" applyAlignment="1">
      <alignment horizontal="center"/>
    </xf>
    <xf numFmtId="171" fontId="4" fillId="2" borderId="5" xfId="0" applyNumberFormat="1" applyFont="1" applyFill="1" applyBorder="1"/>
    <xf numFmtId="170" fontId="4" fillId="0" borderId="2" xfId="0" applyNumberFormat="1" applyFont="1" applyBorder="1"/>
    <xf numFmtId="0" fontId="1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172" fontId="4" fillId="2" borderId="5" xfId="0" applyNumberFormat="1" applyFont="1" applyFill="1" applyBorder="1"/>
    <xf numFmtId="171" fontId="0" fillId="0" borderId="0" xfId="0" applyNumberFormat="1"/>
    <xf numFmtId="169" fontId="0" fillId="0" borderId="1" xfId="0" applyNumberFormat="1" applyBorder="1"/>
    <xf numFmtId="169" fontId="1" fillId="0" borderId="1" xfId="0" applyNumberFormat="1" applyFont="1" applyBorder="1"/>
    <xf numFmtId="1" fontId="1" fillId="2" borderId="1" xfId="0" applyNumberFormat="1" applyFont="1" applyFill="1" applyBorder="1"/>
    <xf numFmtId="168" fontId="4" fillId="0" borderId="4" xfId="0" applyNumberFormat="1" applyFont="1" applyBorder="1"/>
    <xf numFmtId="168" fontId="4" fillId="0" borderId="2" xfId="0" applyNumberFormat="1" applyFont="1" applyBorder="1"/>
    <xf numFmtId="0" fontId="8" fillId="2" borderId="1" xfId="0" applyFont="1" applyFill="1" applyBorder="1"/>
    <xf numFmtId="0" fontId="14" fillId="0" borderId="0" xfId="0" applyFont="1"/>
    <xf numFmtId="0" fontId="8" fillId="0" borderId="1" xfId="0" applyFont="1" applyBorder="1"/>
    <xf numFmtId="0" fontId="14" fillId="0" borderId="1" xfId="0" applyFont="1" applyBorder="1"/>
    <xf numFmtId="3" fontId="14" fillId="2" borderId="1" xfId="0" applyNumberFormat="1" applyFont="1" applyFill="1" applyBorder="1"/>
    <xf numFmtId="0" fontId="14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3" fontId="14" fillId="0" borderId="1" xfId="0" applyNumberFormat="1" applyFont="1" applyBorder="1" applyAlignment="1">
      <alignment horizontal="right"/>
    </xf>
    <xf numFmtId="3" fontId="14" fillId="0" borderId="2" xfId="0" applyNumberFormat="1" applyFont="1" applyBorder="1"/>
    <xf numFmtId="3" fontId="14" fillId="2" borderId="5" xfId="0" applyNumberFormat="1" applyFont="1" applyFill="1" applyBorder="1"/>
    <xf numFmtId="173" fontId="0" fillId="0" borderId="0" xfId="0" applyNumberFormat="1"/>
    <xf numFmtId="0" fontId="14" fillId="6" borderId="0" xfId="0" applyFont="1" applyFill="1"/>
    <xf numFmtId="3" fontId="14" fillId="6" borderId="1" xfId="0" applyNumberFormat="1" applyFont="1" applyFill="1" applyBorder="1"/>
    <xf numFmtId="173" fontId="14" fillId="6" borderId="0" xfId="0" applyNumberFormat="1" applyFont="1" applyFill="1"/>
    <xf numFmtId="174" fontId="0" fillId="0" borderId="0" xfId="0" applyNumberFormat="1"/>
    <xf numFmtId="174" fontId="6" fillId="0" borderId="0" xfId="0" applyNumberFormat="1" applyFont="1"/>
    <xf numFmtId="175" fontId="0" fillId="0" borderId="0" xfId="2" applyNumberFormat="1" applyFont="1"/>
    <xf numFmtId="173" fontId="1" fillId="2" borderId="1" xfId="0" applyNumberFormat="1" applyFont="1" applyFill="1" applyBorder="1"/>
    <xf numFmtId="2" fontId="1" fillId="2" borderId="1" xfId="0" applyNumberFormat="1" applyFont="1" applyFill="1" applyBorder="1"/>
    <xf numFmtId="2" fontId="8" fillId="2" borderId="1" xfId="0" applyNumberFormat="1" applyFont="1" applyFill="1" applyBorder="1"/>
    <xf numFmtId="167" fontId="4" fillId="2" borderId="6" xfId="0" applyNumberFormat="1" applyFont="1" applyFill="1" applyBorder="1"/>
    <xf numFmtId="1" fontId="0" fillId="5" borderId="0" xfId="0" applyNumberFormat="1" applyFill="1"/>
    <xf numFmtId="1" fontId="0" fillId="5" borderId="0" xfId="0" applyNumberFormat="1" applyFill="1" applyAlignment="1">
      <alignment horizontal="center"/>
    </xf>
    <xf numFmtId="170" fontId="0" fillId="0" borderId="0" xfId="0" applyNumberFormat="1"/>
    <xf numFmtId="0" fontId="0" fillId="5" borderId="0" xfId="0" applyFill="1"/>
    <xf numFmtId="168" fontId="0" fillId="2" borderId="1" xfId="0" applyNumberFormat="1" applyFill="1" applyBorder="1"/>
    <xf numFmtId="176" fontId="1" fillId="2" borderId="1" xfId="0" applyNumberFormat="1" applyFont="1" applyFill="1" applyBorder="1"/>
    <xf numFmtId="4" fontId="0" fillId="2" borderId="1" xfId="0" applyNumberFormat="1" applyFill="1" applyBorder="1"/>
    <xf numFmtId="1" fontId="1" fillId="5" borderId="0" xfId="0" applyNumberFormat="1" applyFont="1" applyFill="1" applyAlignment="1">
      <alignment horizontal="center"/>
    </xf>
    <xf numFmtId="0" fontId="0" fillId="0" borderId="3" xfId="0" applyBorder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/>
    <xf numFmtId="0" fontId="16" fillId="0" borderId="0" xfId="0" applyFont="1"/>
    <xf numFmtId="4" fontId="0" fillId="0" borderId="0" xfId="0" applyNumberFormat="1"/>
    <xf numFmtId="0" fontId="1" fillId="5" borderId="0" xfId="0" applyFont="1" applyFill="1"/>
    <xf numFmtId="3" fontId="1" fillId="5" borderId="0" xfId="0" applyNumberFormat="1" applyFont="1" applyFill="1" applyAlignment="1">
      <alignment horizontal="center"/>
    </xf>
    <xf numFmtId="4" fontId="1" fillId="5" borderId="0" xfId="0" applyNumberFormat="1" applyFont="1" applyFill="1"/>
    <xf numFmtId="168" fontId="3" fillId="2" borderId="5" xfId="0" applyNumberFormat="1" applyFont="1" applyFill="1" applyBorder="1" applyAlignment="1">
      <alignment horizontal="left" indent="4"/>
    </xf>
    <xf numFmtId="0" fontId="0" fillId="5" borderId="0" xfId="0" applyFill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5" fontId="2" fillId="0" borderId="4" xfId="0" applyNumberFormat="1" applyFont="1" applyBorder="1"/>
    <xf numFmtId="0" fontId="17" fillId="0" borderId="0" xfId="0" applyFont="1"/>
    <xf numFmtId="3" fontId="4" fillId="0" borderId="2" xfId="0" applyNumberFormat="1" applyFont="1" applyBorder="1" applyAlignment="1">
      <alignment horizontal="right" vertical="center"/>
    </xf>
    <xf numFmtId="168" fontId="3" fillId="2" borderId="5" xfId="0" applyNumberFormat="1" applyFont="1" applyFill="1" applyBorder="1"/>
    <xf numFmtId="170" fontId="4" fillId="2" borderId="5" xfId="0" applyNumberFormat="1" applyFont="1" applyFill="1" applyBorder="1"/>
    <xf numFmtId="3" fontId="4" fillId="2" borderId="11" xfId="0" applyNumberFormat="1" applyFont="1" applyFill="1" applyBorder="1"/>
    <xf numFmtId="0" fontId="0" fillId="0" borderId="12" xfId="0" applyBorder="1"/>
    <xf numFmtId="3" fontId="0" fillId="0" borderId="12" xfId="0" applyNumberFormat="1" applyBorder="1" applyAlignment="1">
      <alignment horizontal="right"/>
    </xf>
    <xf numFmtId="3" fontId="0" fillId="0" borderId="13" xfId="0" applyNumberFormat="1" applyBorder="1"/>
    <xf numFmtId="0" fontId="0" fillId="0" borderId="3" xfId="0" applyBorder="1"/>
    <xf numFmtId="3" fontId="0" fillId="0" borderId="3" xfId="0" applyNumberFormat="1" applyBorder="1" applyAlignment="1">
      <alignment horizontal="right"/>
    </xf>
    <xf numFmtId="3" fontId="0" fillId="0" borderId="14" xfId="0" applyNumberFormat="1" applyBorder="1"/>
    <xf numFmtId="4" fontId="0" fillId="0" borderId="15" xfId="0" applyNumberFormat="1" applyBorder="1"/>
    <xf numFmtId="4" fontId="3" fillId="2" borderId="5" xfId="0" applyNumberFormat="1" applyFont="1" applyFill="1" applyBorder="1"/>
    <xf numFmtId="3" fontId="1" fillId="5" borderId="0" xfId="0" applyNumberFormat="1" applyFont="1" applyFill="1"/>
    <xf numFmtId="169" fontId="1" fillId="2" borderId="1" xfId="0" applyNumberFormat="1" applyFont="1" applyFill="1" applyBorder="1"/>
    <xf numFmtId="3" fontId="0" fillId="5" borderId="0" xfId="0" applyNumberFormat="1" applyFill="1"/>
    <xf numFmtId="2" fontId="0" fillId="0" borderId="0" xfId="0" applyNumberFormat="1"/>
    <xf numFmtId="3" fontId="4" fillId="0" borderId="0" xfId="0" applyNumberFormat="1" applyFont="1"/>
    <xf numFmtId="170" fontId="3" fillId="2" borderId="5" xfId="0" applyNumberFormat="1" applyFont="1" applyFill="1" applyBorder="1"/>
    <xf numFmtId="0" fontId="0" fillId="0" borderId="15" xfId="0" applyBorder="1"/>
    <xf numFmtId="3" fontId="3" fillId="0" borderId="2" xfId="0" applyNumberFormat="1" applyFont="1" applyBorder="1"/>
    <xf numFmtId="168" fontId="1" fillId="0" borderId="2" xfId="0" applyNumberFormat="1" applyFont="1" applyBorder="1"/>
    <xf numFmtId="4" fontId="1" fillId="2" borderId="1" xfId="0" applyNumberFormat="1" applyFont="1" applyFill="1" applyBorder="1"/>
    <xf numFmtId="0" fontId="6" fillId="0" borderId="0" xfId="0" applyFont="1" applyAlignment="1">
      <alignment horizontal="center"/>
    </xf>
    <xf numFmtId="2" fontId="0" fillId="0" borderId="1" xfId="0" applyNumberFormat="1" applyBorder="1"/>
    <xf numFmtId="168" fontId="6" fillId="2" borderId="5" xfId="0" applyNumberFormat="1" applyFont="1" applyFill="1" applyBorder="1"/>
    <xf numFmtId="4" fontId="1" fillId="0" borderId="2" xfId="0" applyNumberFormat="1" applyFont="1" applyBorder="1"/>
    <xf numFmtId="166" fontId="0" fillId="2" borderId="1" xfId="0" applyNumberFormat="1" applyFill="1" applyBorder="1"/>
    <xf numFmtId="16" fontId="0" fillId="0" borderId="0" xfId="0" applyNumberFormat="1"/>
    <xf numFmtId="43" fontId="1" fillId="2" borderId="1" xfId="1" applyFont="1" applyFill="1" applyBorder="1"/>
    <xf numFmtId="43" fontId="0" fillId="0" borderId="1" xfId="1" applyFont="1" applyBorder="1"/>
    <xf numFmtId="2" fontId="0" fillId="2" borderId="1" xfId="0" applyNumberFormat="1" applyFill="1" applyBorder="1"/>
    <xf numFmtId="4" fontId="1" fillId="0" borderId="1" xfId="0" applyNumberFormat="1" applyFont="1" applyBorder="1"/>
    <xf numFmtId="0" fontId="18" fillId="5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" fillId="7" borderId="17" xfId="0" applyFont="1" applyFill="1" applyBorder="1" applyAlignment="1">
      <alignment horizontal="center"/>
    </xf>
    <xf numFmtId="0" fontId="21" fillId="7" borderId="17" xfId="0" applyFont="1" applyFill="1" applyBorder="1" applyAlignment="1">
      <alignment horizontal="center"/>
    </xf>
    <xf numFmtId="0" fontId="20" fillId="0" borderId="16" xfId="0" applyFont="1" applyBorder="1"/>
    <xf numFmtId="0" fontId="0" fillId="0" borderId="16" xfId="0" applyBorder="1"/>
    <xf numFmtId="0" fontId="20" fillId="8" borderId="16" xfId="0" applyFont="1" applyFill="1" applyBorder="1" applyAlignment="1">
      <alignment horizontal="center" vertical="center"/>
    </xf>
    <xf numFmtId="0" fontId="0" fillId="8" borderId="16" xfId="0" applyFill="1" applyBorder="1"/>
    <xf numFmtId="17" fontId="0" fillId="8" borderId="16" xfId="0" applyNumberFormat="1" applyFill="1" applyBorder="1" applyAlignment="1">
      <alignment horizontal="center" vertical="center"/>
    </xf>
    <xf numFmtId="172" fontId="0" fillId="0" borderId="0" xfId="0" applyNumberFormat="1"/>
    <xf numFmtId="0" fontId="22" fillId="0" borderId="0" xfId="0" applyFont="1" applyAlignment="1">
      <alignment horizontal="center"/>
    </xf>
    <xf numFmtId="0" fontId="23" fillId="2" borderId="1" xfId="0" applyFont="1" applyFill="1" applyBorder="1" applyAlignment="1">
      <alignment horizontal="left"/>
    </xf>
    <xf numFmtId="3" fontId="23" fillId="2" borderId="1" xfId="0" applyNumberFormat="1" applyFont="1" applyFill="1" applyBorder="1" applyAlignment="1">
      <alignment horizontal="right"/>
    </xf>
    <xf numFmtId="0" fontId="24" fillId="0" borderId="0" xfId="0" applyFont="1"/>
    <xf numFmtId="0" fontId="24" fillId="0" borderId="1" xfId="0" applyFont="1" applyBorder="1"/>
    <xf numFmtId="0" fontId="23" fillId="2" borderId="1" xfId="0" applyFont="1" applyFill="1" applyBorder="1"/>
    <xf numFmtId="3" fontId="23" fillId="2" borderId="1" xfId="0" applyNumberFormat="1" applyFont="1" applyFill="1" applyBorder="1"/>
    <xf numFmtId="0" fontId="25" fillId="0" borderId="0" xfId="0" applyFont="1"/>
    <xf numFmtId="43" fontId="1" fillId="0" borderId="0" xfId="1" applyFont="1" applyFill="1" applyBorder="1"/>
    <xf numFmtId="43" fontId="0" fillId="0" borderId="0" xfId="1" applyFont="1" applyFill="1" applyBorder="1"/>
    <xf numFmtId="0" fontId="3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4" fontId="4" fillId="0" borderId="0" xfId="0" applyNumberFormat="1" applyFont="1"/>
    <xf numFmtId="167" fontId="4" fillId="0" borderId="0" xfId="0" applyNumberFormat="1" applyFont="1"/>
    <xf numFmtId="165" fontId="4" fillId="0" borderId="0" xfId="0" applyNumberFormat="1" applyFont="1"/>
    <xf numFmtId="171" fontId="4" fillId="0" borderId="0" xfId="0" applyNumberFormat="1" applyFont="1"/>
    <xf numFmtId="3" fontId="3" fillId="0" borderId="0" xfId="0" applyNumberFormat="1" applyFont="1"/>
    <xf numFmtId="168" fontId="3" fillId="0" borderId="0" xfId="0" applyNumberFormat="1" applyFont="1" applyAlignment="1">
      <alignment horizontal="left" indent="4"/>
    </xf>
    <xf numFmtId="0" fontId="4" fillId="0" borderId="0" xfId="0" applyFont="1"/>
    <xf numFmtId="0" fontId="3" fillId="0" borderId="0" xfId="0" applyFont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77" fontId="1" fillId="2" borderId="1" xfId="1" applyNumberFormat="1" applyFont="1" applyFill="1" applyBorder="1"/>
    <xf numFmtId="14" fontId="0" fillId="0" borderId="0" xfId="0" applyNumberFormat="1"/>
    <xf numFmtId="178" fontId="0" fillId="0" borderId="1" xfId="1" applyNumberFormat="1" applyFont="1" applyBorder="1"/>
    <xf numFmtId="167" fontId="0" fillId="0" borderId="0" xfId="0" applyNumberFormat="1"/>
    <xf numFmtId="0" fontId="0" fillId="0" borderId="0" xfId="0" applyAlignment="1">
      <alignment horizontal="left" vertical="center"/>
    </xf>
    <xf numFmtId="3" fontId="4" fillId="0" borderId="18" xfId="0" applyNumberFormat="1" applyFont="1" applyBorder="1"/>
    <xf numFmtId="3" fontId="0" fillId="0" borderId="15" xfId="0" applyNumberFormat="1" applyBorder="1"/>
    <xf numFmtId="0" fontId="6" fillId="0" borderId="0" xfId="0" applyFont="1" applyAlignment="1">
      <alignment horizontal="right"/>
    </xf>
    <xf numFmtId="0" fontId="12" fillId="5" borderId="0" xfId="0" applyFont="1" applyFill="1" applyAlignment="1">
      <alignment horizontal="center"/>
    </xf>
    <xf numFmtId="3" fontId="12" fillId="5" borderId="0" xfId="0" applyNumberFormat="1" applyFont="1" applyFill="1"/>
    <xf numFmtId="0" fontId="3" fillId="0" borderId="18" xfId="0" applyFont="1" applyBorder="1" applyAlignment="1">
      <alignment horizontal="center"/>
    </xf>
    <xf numFmtId="168" fontId="4" fillId="0" borderId="18" xfId="0" applyNumberFormat="1" applyFont="1" applyBorder="1"/>
    <xf numFmtId="168" fontId="0" fillId="0" borderId="0" xfId="0" applyNumberFormat="1"/>
    <xf numFmtId="17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71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165" fontId="4" fillId="2" borderId="20" xfId="0" applyNumberFormat="1" applyFont="1" applyFill="1" applyBorder="1"/>
    <xf numFmtId="168" fontId="1" fillId="0" borderId="1" xfId="0" applyNumberFormat="1" applyFont="1" applyBorder="1"/>
    <xf numFmtId="168" fontId="0" fillId="0" borderId="1" xfId="0" applyNumberFormat="1" applyBorder="1"/>
    <xf numFmtId="165" fontId="4" fillId="5" borderId="5" xfId="0" applyNumberFormat="1" applyFont="1" applyFill="1" applyBorder="1"/>
    <xf numFmtId="0" fontId="2" fillId="5" borderId="4" xfId="0" applyFont="1" applyFill="1" applyBorder="1"/>
    <xf numFmtId="0" fontId="26" fillId="0" borderId="0" xfId="0" applyFont="1"/>
    <xf numFmtId="4" fontId="3" fillId="5" borderId="5" xfId="0" applyNumberFormat="1" applyFont="1" applyFill="1" applyBorder="1"/>
    <xf numFmtId="165" fontId="2" fillId="0" borderId="4" xfId="0" applyNumberFormat="1" applyFont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0" fontId="20" fillId="0" borderId="16" xfId="0" applyFont="1" applyBorder="1" applyAlignment="1">
      <alignment horizontal="center" vertical="center"/>
    </xf>
    <xf numFmtId="17" fontId="0" fillId="0" borderId="16" xfId="0" applyNumberForma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DCBF8-6E60-4120-8C66-B77DD1FEABCE}">
  <sheetPr>
    <pageSetUpPr fitToPage="1"/>
  </sheetPr>
  <dimension ref="A1:K25"/>
  <sheetViews>
    <sheetView showGridLines="0" topLeftCell="BVQ1" zoomScaleNormal="100" workbookViewId="0">
      <selection activeCell="D21" sqref="D21"/>
    </sheetView>
  </sheetViews>
  <sheetFormatPr defaultRowHeight="14.4" x14ac:dyDescent="0.3"/>
  <cols>
    <col min="1" max="1" width="28.88671875" bestFit="1" customWidth="1"/>
    <col min="3" max="3" width="9.4414062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113">
        <f>C19+(D19/B2)</f>
        <v>2</v>
      </c>
      <c r="C1" s="69"/>
      <c r="E1" s="5" t="s">
        <v>26</v>
      </c>
      <c r="F1" s="6">
        <v>64</v>
      </c>
      <c r="G1" s="6" t="s">
        <v>68</v>
      </c>
    </row>
    <row r="2" spans="1:11" x14ac:dyDescent="0.3">
      <c r="A2" s="6" t="s">
        <v>180</v>
      </c>
      <c r="B2" s="6">
        <v>32</v>
      </c>
      <c r="E2" s="5" t="s">
        <v>16</v>
      </c>
      <c r="F2" s="35">
        <f>F1-B3</f>
        <v>0</v>
      </c>
      <c r="G2" s="6" t="s">
        <v>68</v>
      </c>
    </row>
    <row r="3" spans="1:11" x14ac:dyDescent="0.3">
      <c r="A3" s="28" t="s">
        <v>0</v>
      </c>
      <c r="B3" s="29">
        <f>B1*B2</f>
        <v>64</v>
      </c>
    </row>
    <row r="4" spans="1:11" x14ac:dyDescent="0.3">
      <c r="A4" s="6" t="s">
        <v>8</v>
      </c>
      <c r="B4" s="6">
        <v>1</v>
      </c>
    </row>
    <row r="5" spans="1:11" x14ac:dyDescent="0.3">
      <c r="A5" s="28" t="s">
        <v>1</v>
      </c>
      <c r="B5" s="29">
        <f>B3*B4</f>
        <v>64</v>
      </c>
    </row>
    <row r="6" spans="1:11" x14ac:dyDescent="0.3">
      <c r="A6" s="6" t="s">
        <v>9</v>
      </c>
      <c r="B6" s="6">
        <v>1</v>
      </c>
      <c r="K6" s="154"/>
    </row>
    <row r="7" spans="1:11" x14ac:dyDescent="0.3">
      <c r="A7" s="28" t="s">
        <v>68</v>
      </c>
      <c r="B7" s="29">
        <f>B5*B6</f>
        <v>64</v>
      </c>
      <c r="C7" s="44"/>
    </row>
    <row r="8" spans="1:11" x14ac:dyDescent="0.3">
      <c r="A8" s="6" t="s">
        <v>178</v>
      </c>
      <c r="B8" s="6">
        <v>14.2</v>
      </c>
    </row>
    <row r="9" spans="1:11" x14ac:dyDescent="0.3">
      <c r="A9" s="28" t="s">
        <v>4</v>
      </c>
      <c r="B9" s="29">
        <f>B7*B8</f>
        <v>908.8</v>
      </c>
    </row>
    <row r="11" spans="1:11" x14ac:dyDescent="0.3">
      <c r="A11" s="1">
        <v>45866</v>
      </c>
      <c r="B11" s="12"/>
      <c r="C11" s="12"/>
      <c r="D11" s="12"/>
      <c r="E11" s="228" t="s">
        <v>12</v>
      </c>
      <c r="F11" s="228"/>
      <c r="G11" s="228"/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68</v>
      </c>
      <c r="E12" s="30" t="s">
        <v>181</v>
      </c>
      <c r="F12" s="30" t="s">
        <v>68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179</v>
      </c>
      <c r="B13" s="6" t="s">
        <v>25</v>
      </c>
      <c r="C13" s="9"/>
      <c r="D13" s="16">
        <v>25</v>
      </c>
      <c r="E13" s="31">
        <f>(C13*$B$2)+D13</f>
        <v>25</v>
      </c>
      <c r="F13" s="31">
        <f>E13*$B$4*$B$6</f>
        <v>25</v>
      </c>
      <c r="G13" s="31">
        <f>F13*$B$8</f>
        <v>355</v>
      </c>
      <c r="H13" s="10">
        <v>0</v>
      </c>
      <c r="I13" s="20">
        <v>2721.5</v>
      </c>
      <c r="J13" s="33">
        <f>I13-G13-H13</f>
        <v>2366.5</v>
      </c>
      <c r="K13" s="24" t="s">
        <v>52</v>
      </c>
    </row>
    <row r="14" spans="1:11" x14ac:dyDescent="0.3">
      <c r="A14" s="6" t="s">
        <v>179</v>
      </c>
      <c r="B14" s="6" t="s">
        <v>25</v>
      </c>
      <c r="C14" s="9"/>
      <c r="D14" s="16">
        <v>39</v>
      </c>
      <c r="E14" s="31">
        <f>(C14*$B$2)+D14</f>
        <v>39</v>
      </c>
      <c r="F14" s="31">
        <f t="shared" ref="F14:F18" si="0">E14*$B$4*$B$6</f>
        <v>39</v>
      </c>
      <c r="G14" s="31">
        <f>F14*$B$8</f>
        <v>553.79999999999995</v>
      </c>
      <c r="H14" s="10"/>
      <c r="I14" s="21">
        <f>+J13</f>
        <v>2366.5</v>
      </c>
      <c r="J14" s="33">
        <f t="shared" ref="J14:J18" si="1">I14-G14-H14</f>
        <v>1812.7</v>
      </c>
      <c r="K14" s="24" t="s">
        <v>52</v>
      </c>
    </row>
    <row r="15" spans="1:11" x14ac:dyDescent="0.3">
      <c r="B15" s="6"/>
      <c r="C15" s="9"/>
      <c r="D15" s="16"/>
      <c r="E15" s="31">
        <f>(C15*$B$2)+D15</f>
        <v>0</v>
      </c>
      <c r="F15" s="31">
        <f t="shared" si="0"/>
        <v>0</v>
      </c>
      <c r="G15" s="31">
        <f t="shared" ref="G15:G18" si="2">F15*$B$8</f>
        <v>0</v>
      </c>
      <c r="H15" s="10"/>
      <c r="I15" s="21"/>
      <c r="J15" s="33">
        <f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ref="E16:E18" si="3">(C16*$B$2)+D16</f>
        <v>0</v>
      </c>
      <c r="F16" s="31">
        <f t="shared" si="0"/>
        <v>0</v>
      </c>
      <c r="G16" s="31">
        <f t="shared" si="2"/>
        <v>0</v>
      </c>
      <c r="H16" s="10"/>
      <c r="I16" s="21"/>
      <c r="J16" s="33">
        <f t="shared" si="1"/>
        <v>0</v>
      </c>
      <c r="K16" s="24"/>
    </row>
    <row r="17" spans="1:11" x14ac:dyDescent="0.3">
      <c r="A17" s="6"/>
      <c r="B17" s="6"/>
      <c r="C17" s="9"/>
      <c r="D17" s="16"/>
      <c r="E17" s="31">
        <f t="shared" si="3"/>
        <v>0</v>
      </c>
      <c r="F17" s="31">
        <f t="shared" si="0"/>
        <v>0</v>
      </c>
      <c r="G17" s="31">
        <f t="shared" si="2"/>
        <v>0</v>
      </c>
      <c r="H17" s="10"/>
      <c r="I17" s="21"/>
      <c r="J17" s="33">
        <f t="shared" si="1"/>
        <v>0</v>
      </c>
      <c r="K17" s="24"/>
    </row>
    <row r="18" spans="1:11" x14ac:dyDescent="0.3">
      <c r="A18" s="6"/>
      <c r="B18" s="6"/>
      <c r="C18" s="9"/>
      <c r="D18" s="16"/>
      <c r="E18" s="31">
        <f t="shared" si="3"/>
        <v>0</v>
      </c>
      <c r="F18" s="31">
        <f t="shared" si="0"/>
        <v>0</v>
      </c>
      <c r="G18" s="31">
        <f t="shared" si="2"/>
        <v>0</v>
      </c>
      <c r="H18" s="10"/>
      <c r="I18" s="21"/>
      <c r="J18" s="33">
        <f t="shared" si="1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64</v>
      </c>
      <c r="E19" s="32">
        <f>SUM(E13:E18)</f>
        <v>64</v>
      </c>
      <c r="F19" s="32">
        <f>SUM(F13:F18)</f>
        <v>64</v>
      </c>
      <c r="G19" s="150">
        <f>SUM(G13:G18)</f>
        <v>908.8</v>
      </c>
      <c r="H19" s="11"/>
      <c r="I19" s="22"/>
      <c r="J19" s="34"/>
      <c r="K19" s="25"/>
    </row>
    <row r="20" spans="1:11" x14ac:dyDescent="0.3">
      <c r="E20" s="4">
        <f>E19/F1</f>
        <v>1</v>
      </c>
      <c r="J20" s="220">
        <f>+J13/113.3</f>
        <v>20.887025595763461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908.8</v>
      </c>
      <c r="H23" s="27">
        <f t="shared" ref="H23:J23" si="4">SUMIF($B$13:$B$18,$F$23,H13:H18)</f>
        <v>0</v>
      </c>
      <c r="I23" s="27">
        <f t="shared" si="4"/>
        <v>5088</v>
      </c>
      <c r="J23" s="27">
        <f t="shared" si="4"/>
        <v>4179.2</v>
      </c>
      <c r="K23" s="149"/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908.8</v>
      </c>
      <c r="H25" s="7">
        <f t="shared" ref="H25:J25" si="6">SUM(H23:H24)</f>
        <v>0</v>
      </c>
      <c r="I25" s="7">
        <f t="shared" si="6"/>
        <v>5088</v>
      </c>
      <c r="J25" s="7">
        <f t="shared" si="6"/>
        <v>4179.2</v>
      </c>
    </row>
  </sheetData>
  <mergeCells count="1">
    <mergeCell ref="E11:G11"/>
  </mergeCells>
  <phoneticPr fontId="15" type="noConversion"/>
  <pageMargins left="0.25" right="0.25" top="0.75" bottom="0.75" header="0.3" footer="0.3"/>
  <pageSetup scale="88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25DFE-6B10-4644-BF5C-CDE20AEEA925}">
  <sheetPr>
    <pageSetUpPr fitToPage="1"/>
  </sheetPr>
  <dimension ref="A1:K25"/>
  <sheetViews>
    <sheetView showGridLines="0" zoomScaleNormal="100" workbookViewId="0">
      <selection activeCell="K2" sqref="K2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58.109375" customWidth="1"/>
  </cols>
  <sheetData>
    <row r="1" spans="1:11" x14ac:dyDescent="0.3">
      <c r="A1" s="28" t="s">
        <v>3</v>
      </c>
      <c r="B1" s="42">
        <f>C19+(D19/B2)</f>
        <v>1</v>
      </c>
      <c r="E1" s="5" t="s">
        <v>26</v>
      </c>
      <c r="F1" s="6">
        <v>9</v>
      </c>
      <c r="G1" s="6" t="s">
        <v>87</v>
      </c>
    </row>
    <row r="2" spans="1:11" x14ac:dyDescent="0.3">
      <c r="A2" s="6" t="s">
        <v>161</v>
      </c>
      <c r="B2" s="6">
        <v>9</v>
      </c>
      <c r="E2" s="5" t="s">
        <v>16</v>
      </c>
      <c r="F2" s="35">
        <f>F1-B3</f>
        <v>0</v>
      </c>
      <c r="G2" s="6" t="s">
        <v>18</v>
      </c>
      <c r="I2" t="s">
        <v>163</v>
      </c>
      <c r="J2" s="45"/>
    </row>
    <row r="3" spans="1:11" s="184" customFormat="1" x14ac:dyDescent="0.3">
      <c r="A3" s="182" t="s">
        <v>0</v>
      </c>
      <c r="B3" s="183">
        <f>B1*B2</f>
        <v>9</v>
      </c>
    </row>
    <row r="4" spans="1:11" s="184" customFormat="1" x14ac:dyDescent="0.3">
      <c r="A4" s="185" t="s">
        <v>8</v>
      </c>
      <c r="B4" s="185">
        <v>1</v>
      </c>
    </row>
    <row r="5" spans="1:11" s="184" customFormat="1" x14ac:dyDescent="0.3">
      <c r="A5" s="186" t="s">
        <v>1</v>
      </c>
      <c r="B5" s="187">
        <f>B3*B4</f>
        <v>9</v>
      </c>
    </row>
    <row r="6" spans="1:11" s="184" customFormat="1" x14ac:dyDescent="0.3">
      <c r="A6" s="185" t="s">
        <v>9</v>
      </c>
      <c r="B6" s="185">
        <v>10</v>
      </c>
    </row>
    <row r="7" spans="1:11" x14ac:dyDescent="0.3">
      <c r="A7" s="28" t="s">
        <v>89</v>
      </c>
      <c r="B7" s="29">
        <f>E13</f>
        <v>9</v>
      </c>
    </row>
    <row r="8" spans="1:11" x14ac:dyDescent="0.3">
      <c r="A8" s="6" t="s">
        <v>7</v>
      </c>
      <c r="B8" s="6">
        <v>55</v>
      </c>
    </row>
    <row r="9" spans="1:11" x14ac:dyDescent="0.3">
      <c r="A9" s="28" t="s">
        <v>4</v>
      </c>
      <c r="B9" s="29">
        <f>B7*B8</f>
        <v>495</v>
      </c>
    </row>
    <row r="10" spans="1:11" x14ac:dyDescent="0.3">
      <c r="I10" s="45"/>
    </row>
    <row r="11" spans="1:11" x14ac:dyDescent="0.3">
      <c r="A11" s="1">
        <v>45763</v>
      </c>
      <c r="B11" s="12"/>
      <c r="C11" s="12"/>
      <c r="D11" s="12"/>
      <c r="E11" s="228" t="s">
        <v>12</v>
      </c>
      <c r="F11" s="228"/>
      <c r="G11" s="228"/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87</v>
      </c>
      <c r="E12" s="30" t="s">
        <v>11</v>
      </c>
      <c r="F12" s="30"/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ht="14.4" customHeight="1" x14ac:dyDescent="0.3">
      <c r="A13" s="6" t="s">
        <v>162</v>
      </c>
      <c r="B13" s="6" t="s">
        <v>157</v>
      </c>
      <c r="C13" s="9"/>
      <c r="D13" s="16">
        <v>9</v>
      </c>
      <c r="E13" s="31">
        <f t="shared" ref="E13:E18" si="0">(C13*$B$2)+D13</f>
        <v>9</v>
      </c>
      <c r="F13" s="31"/>
      <c r="G13" s="31">
        <f>E13*$B$8</f>
        <v>495</v>
      </c>
      <c r="H13" s="10"/>
      <c r="I13" s="20">
        <v>10134.799999999999</v>
      </c>
      <c r="J13" s="33">
        <f>I13-(G13+H13)</f>
        <v>9639.7999999999993</v>
      </c>
      <c r="K13" s="24"/>
    </row>
    <row r="14" spans="1:11" x14ac:dyDescent="0.3">
      <c r="A14" s="6"/>
      <c r="B14" s="6"/>
      <c r="C14" s="9"/>
      <c r="D14" s="16"/>
      <c r="E14" s="31">
        <f>(C14*$B$2)+D14</f>
        <v>0</v>
      </c>
      <c r="F14" s="31"/>
      <c r="G14" s="31">
        <f t="shared" ref="G14:G18" si="1">F14*$B$8</f>
        <v>0</v>
      </c>
      <c r="H14" s="10"/>
      <c r="I14" s="21"/>
      <c r="J14" s="33"/>
      <c r="K14" s="24"/>
    </row>
    <row r="15" spans="1:11" x14ac:dyDescent="0.3">
      <c r="A15" s="6"/>
      <c r="B15" s="6"/>
      <c r="C15" s="9"/>
      <c r="D15" s="16"/>
      <c r="E15" s="31">
        <f t="shared" si="0"/>
        <v>0</v>
      </c>
      <c r="F15" s="31"/>
      <c r="G15" s="31">
        <f t="shared" si="1"/>
        <v>0</v>
      </c>
      <c r="H15" s="10"/>
      <c r="I15" s="21"/>
      <c r="J15" s="33"/>
      <c r="K15" s="24"/>
    </row>
    <row r="16" spans="1:11" x14ac:dyDescent="0.3">
      <c r="A16" s="6"/>
      <c r="B16" s="6"/>
      <c r="C16" s="9"/>
      <c r="D16" s="16"/>
      <c r="E16" s="31">
        <f t="shared" si="0"/>
        <v>0</v>
      </c>
      <c r="F16" s="31"/>
      <c r="G16" s="31">
        <f t="shared" si="1"/>
        <v>0</v>
      </c>
      <c r="H16" s="10"/>
      <c r="I16" s="21"/>
      <c r="J16" s="33">
        <f t="shared" ref="J16:J17" si="2">I16-G16-H16</f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/>
      <c r="G17" s="31">
        <f t="shared" si="1"/>
        <v>0</v>
      </c>
      <c r="H17" s="10"/>
      <c r="I17" s="21"/>
      <c r="J17" s="33">
        <f t="shared" si="2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/>
      <c r="G18" s="31">
        <f t="shared" si="1"/>
        <v>0</v>
      </c>
      <c r="H18" s="10"/>
      <c r="I18" s="21"/>
      <c r="J18" s="33"/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9</v>
      </c>
      <c r="E19" s="32">
        <f>SUM(E13:E18)</f>
        <v>9</v>
      </c>
      <c r="F19" s="32"/>
      <c r="G19" s="32">
        <f>SUM(G13:G18)</f>
        <v>495</v>
      </c>
      <c r="H19" s="32">
        <f t="shared" ref="H19:I19" si="3">SUM(H13:H18)</f>
        <v>0</v>
      </c>
      <c r="I19" s="32">
        <f t="shared" si="3"/>
        <v>10134.799999999999</v>
      </c>
      <c r="J19" s="34"/>
      <c r="K19" s="25"/>
    </row>
    <row r="20" spans="1:11" x14ac:dyDescent="0.3">
      <c r="E20" s="4">
        <f>E19/F1</f>
        <v>1</v>
      </c>
    </row>
    <row r="21" spans="1:11" x14ac:dyDescent="0.3">
      <c r="D21" s="44"/>
      <c r="E21" s="4"/>
    </row>
    <row r="22" spans="1:11" x14ac:dyDescent="0.3">
      <c r="D22" s="44"/>
      <c r="E22" s="4"/>
      <c r="F22" s="54" t="s">
        <v>12</v>
      </c>
      <c r="G22" s="54" t="s">
        <v>4</v>
      </c>
      <c r="H22" s="55" t="s">
        <v>14</v>
      </c>
      <c r="I22" s="56" t="s">
        <v>13</v>
      </c>
      <c r="J22" s="54" t="s">
        <v>15</v>
      </c>
    </row>
    <row r="23" spans="1:11" x14ac:dyDescent="0.3">
      <c r="C23" s="44"/>
      <c r="F23" s="26" t="s">
        <v>25</v>
      </c>
      <c r="G23" s="27">
        <f>SUMIF($B$13:$B$18,$F$23,G13:G18)</f>
        <v>495</v>
      </c>
      <c r="H23" s="27">
        <f t="shared" ref="H23:I23" si="4">SUMIF($B$13:$B$18,$F$23,H13:H18)</f>
        <v>0</v>
      </c>
      <c r="I23" s="27">
        <f t="shared" si="4"/>
        <v>10134.799999999999</v>
      </c>
      <c r="J23" s="27">
        <f>SUMIF($B$13:$B$18,$F$23,J13:J18)</f>
        <v>9639.7999999999993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I24" si="5">SUMIF($B$13:$B$18,$F$24,H13:H18)</f>
        <v>0</v>
      </c>
      <c r="I24" s="27">
        <f t="shared" si="5"/>
        <v>0</v>
      </c>
      <c r="J24" s="27">
        <f>SUMIF($B$13:$B$18,$F$24,J13:J18)</f>
        <v>0</v>
      </c>
    </row>
    <row r="25" spans="1:11" x14ac:dyDescent="0.3">
      <c r="F25" s="8" t="s">
        <v>34</v>
      </c>
      <c r="G25" s="7">
        <f>SUM(G23:G24)</f>
        <v>495</v>
      </c>
      <c r="H25" s="7">
        <f t="shared" ref="H25:J25" si="6">SUM(H23:H24)</f>
        <v>0</v>
      </c>
      <c r="I25" s="7">
        <f t="shared" si="6"/>
        <v>10134.799999999999</v>
      </c>
      <c r="J25" s="7">
        <f t="shared" si="6"/>
        <v>9639.7999999999993</v>
      </c>
    </row>
  </sheetData>
  <mergeCells count="1">
    <mergeCell ref="E11:G11"/>
  </mergeCells>
  <pageMargins left="0.7" right="0.7" top="0.75" bottom="0.75" header="0.3" footer="0.3"/>
  <pageSetup scale="7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999AF-47E8-4B8E-8FEC-47A9D951E584}">
  <dimension ref="B4:B11"/>
  <sheetViews>
    <sheetView workbookViewId="0">
      <selection activeCell="D13" sqref="D13"/>
    </sheetView>
  </sheetViews>
  <sheetFormatPr defaultRowHeight="14.4" x14ac:dyDescent="0.3"/>
  <cols>
    <col min="2" max="2" width="27.44140625" bestFit="1" customWidth="1"/>
  </cols>
  <sheetData>
    <row r="4" spans="2:2" x14ac:dyDescent="0.3">
      <c r="B4" s="3" t="s">
        <v>17</v>
      </c>
    </row>
    <row r="5" spans="2:2" x14ac:dyDescent="0.3">
      <c r="B5" s="2" t="s">
        <v>19</v>
      </c>
    </row>
    <row r="6" spans="2:2" x14ac:dyDescent="0.3">
      <c r="B6" s="2" t="s">
        <v>28</v>
      </c>
    </row>
    <row r="7" spans="2:2" x14ac:dyDescent="0.3">
      <c r="B7" s="2" t="s">
        <v>30</v>
      </c>
    </row>
    <row r="8" spans="2:2" x14ac:dyDescent="0.3">
      <c r="B8" s="2" t="s">
        <v>29</v>
      </c>
    </row>
    <row r="9" spans="2:2" x14ac:dyDescent="0.3">
      <c r="B9" s="2" t="s">
        <v>32</v>
      </c>
    </row>
    <row r="10" spans="2:2" x14ac:dyDescent="0.3">
      <c r="B10" s="24"/>
    </row>
    <row r="11" spans="2:2" x14ac:dyDescent="0.3">
      <c r="B1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0786-0F01-4F17-A54C-1B5DE568712E}">
  <dimension ref="I9:L14"/>
  <sheetViews>
    <sheetView topLeftCell="A4" workbookViewId="0">
      <selection activeCell="J19" sqref="J19"/>
    </sheetView>
  </sheetViews>
  <sheetFormatPr defaultRowHeight="14.4" x14ac:dyDescent="0.3"/>
  <cols>
    <col min="9" max="9" width="19" bestFit="1" customWidth="1"/>
    <col min="10" max="10" width="19" customWidth="1"/>
    <col min="11" max="11" width="25.109375" bestFit="1" customWidth="1"/>
    <col min="12" max="12" width="13.88671875" bestFit="1" customWidth="1"/>
  </cols>
  <sheetData>
    <row r="9" spans="9:12" x14ac:dyDescent="0.3">
      <c r="I9" s="173" t="s">
        <v>141</v>
      </c>
      <c r="J9" s="173" t="s">
        <v>142</v>
      </c>
      <c r="K9" s="173" t="s">
        <v>138</v>
      </c>
      <c r="L9" s="174" t="s">
        <v>139</v>
      </c>
    </row>
    <row r="10" spans="9:12" x14ac:dyDescent="0.3">
      <c r="I10" s="229" t="s">
        <v>140</v>
      </c>
      <c r="J10" s="175" t="s">
        <v>5</v>
      </c>
      <c r="K10" s="176" t="s">
        <v>144</v>
      </c>
      <c r="L10" s="230" t="s">
        <v>149</v>
      </c>
    </row>
    <row r="11" spans="9:12" x14ac:dyDescent="0.3">
      <c r="I11" s="229"/>
      <c r="J11" s="176" t="s">
        <v>143</v>
      </c>
      <c r="K11" s="176" t="s">
        <v>145</v>
      </c>
      <c r="L11" s="230"/>
    </row>
    <row r="12" spans="9:12" ht="3.75" customHeight="1" x14ac:dyDescent="0.3">
      <c r="I12" s="177"/>
      <c r="J12" s="178"/>
      <c r="K12" s="178"/>
      <c r="L12" s="179"/>
    </row>
    <row r="13" spans="9:12" x14ac:dyDescent="0.3">
      <c r="I13" s="229" t="s">
        <v>146</v>
      </c>
      <c r="J13" s="175" t="s">
        <v>5</v>
      </c>
      <c r="K13" s="176" t="s">
        <v>147</v>
      </c>
      <c r="L13" s="230" t="s">
        <v>150</v>
      </c>
    </row>
    <row r="14" spans="9:12" x14ac:dyDescent="0.3">
      <c r="I14" s="229"/>
      <c r="J14" s="176" t="s">
        <v>143</v>
      </c>
      <c r="K14" s="176" t="s">
        <v>148</v>
      </c>
      <c r="L14" s="230"/>
    </row>
  </sheetData>
  <mergeCells count="4">
    <mergeCell ref="I10:I11"/>
    <mergeCell ref="L10:L11"/>
    <mergeCell ref="L13:L14"/>
    <mergeCell ref="I13:I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E650-D6DE-4A6A-9197-C2836C7B9885}">
  <sheetPr>
    <pageSetUpPr fitToPage="1"/>
  </sheetPr>
  <dimension ref="A1:K25"/>
  <sheetViews>
    <sheetView showGridLines="0" zoomScaleNormal="100" workbookViewId="0">
      <selection activeCell="F14" sqref="F14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6640625" customWidth="1"/>
  </cols>
  <sheetData>
    <row r="1" spans="1:11" x14ac:dyDescent="0.3">
      <c r="A1" s="28" t="s">
        <v>3</v>
      </c>
      <c r="B1" s="28">
        <f>C19+(D19/B2)</f>
        <v>0.28541666666666665</v>
      </c>
      <c r="C1" s="81" t="s">
        <v>48</v>
      </c>
      <c r="E1" s="5" t="s">
        <v>26</v>
      </c>
      <c r="F1" s="6">
        <v>14</v>
      </c>
      <c r="G1" s="6" t="s">
        <v>18</v>
      </c>
    </row>
    <row r="2" spans="1:11" x14ac:dyDescent="0.3">
      <c r="A2" s="6" t="s">
        <v>6</v>
      </c>
      <c r="B2" s="6">
        <v>48</v>
      </c>
      <c r="E2" s="5" t="s">
        <v>16</v>
      </c>
      <c r="F2" s="35">
        <f>F1-B3</f>
        <v>0.30000000000000071</v>
      </c>
      <c r="G2" s="6" t="s">
        <v>18</v>
      </c>
    </row>
    <row r="3" spans="1:11" x14ac:dyDescent="0.3">
      <c r="A3" s="28" t="s">
        <v>0</v>
      </c>
      <c r="B3" s="29">
        <f>B1*B2</f>
        <v>13.7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41.099999999999994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410.99999999999994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164.39999999999998</v>
      </c>
    </row>
    <row r="11" spans="1:11" x14ac:dyDescent="0.3">
      <c r="A11" s="1">
        <v>45212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55</v>
      </c>
      <c r="B13" s="6" t="s">
        <v>25</v>
      </c>
      <c r="C13" s="9"/>
      <c r="D13" s="16">
        <v>13</v>
      </c>
      <c r="E13" s="31">
        <f>(C13*$B$2)+D13</f>
        <v>13</v>
      </c>
      <c r="F13" s="31">
        <f>E13*$B$4*$B$6</f>
        <v>390</v>
      </c>
      <c r="G13" s="31">
        <f t="shared" ref="G13:G18" si="0">F13*$B$8</f>
        <v>156</v>
      </c>
      <c r="H13" s="10">
        <v>8</v>
      </c>
      <c r="I13" s="20">
        <v>557</v>
      </c>
      <c r="J13" s="33">
        <f>I13-G13-H13</f>
        <v>393</v>
      </c>
      <c r="K13" s="24" t="s">
        <v>52</v>
      </c>
    </row>
    <row r="14" spans="1:11" x14ac:dyDescent="0.3">
      <c r="A14" s="6"/>
      <c r="B14" s="6"/>
      <c r="C14" s="9"/>
      <c r="D14" s="61">
        <v>0.7</v>
      </c>
      <c r="E14" s="31">
        <f>(C14*$B$2)+D14</f>
        <v>0.7</v>
      </c>
      <c r="F14" s="31">
        <f t="shared" ref="F14:F18" si="1">E14*$B$4*$B$6</f>
        <v>20.999999999999996</v>
      </c>
      <c r="G14" s="31">
        <f t="shared" si="0"/>
        <v>8.3999999999999986</v>
      </c>
      <c r="H14" s="10"/>
      <c r="I14" s="21">
        <v>393</v>
      </c>
      <c r="J14" s="33">
        <f>I14-G14-H14</f>
        <v>384.6</v>
      </c>
      <c r="K14" s="24" t="s">
        <v>52</v>
      </c>
    </row>
    <row r="15" spans="1:11" x14ac:dyDescent="0.3">
      <c r="A15" s="6"/>
      <c r="B15" s="6"/>
      <c r="C15" s="9"/>
      <c r="D15" s="16"/>
      <c r="E15" s="31">
        <f t="shared" ref="E15:E18" si="2">(C15*$B$2)+D15</f>
        <v>0</v>
      </c>
      <c r="F15" s="31">
        <f t="shared" si="1"/>
        <v>0</v>
      </c>
      <c r="G15" s="31">
        <f t="shared" si="0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2"/>
        <v>0</v>
      </c>
      <c r="F16" s="31">
        <f t="shared" si="1"/>
        <v>0</v>
      </c>
      <c r="G16" s="31">
        <f t="shared" si="0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1"/>
        <v>0</v>
      </c>
      <c r="G17" s="31">
        <f t="shared" si="0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2"/>
        <v>0</v>
      </c>
      <c r="F18" s="31">
        <f t="shared" si="1"/>
        <v>0</v>
      </c>
      <c r="G18" s="31">
        <f t="shared" si="0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13.7</v>
      </c>
      <c r="E19" s="32">
        <f>SUM(E13:E18)</f>
        <v>13.7</v>
      </c>
      <c r="F19" s="32">
        <f>SUM(F13:F18)</f>
        <v>411</v>
      </c>
      <c r="G19" s="32">
        <f>SUM(G13:G18)</f>
        <v>164.4</v>
      </c>
      <c r="H19" s="11"/>
      <c r="I19" s="22"/>
      <c r="J19" s="34"/>
      <c r="K19" s="25"/>
    </row>
    <row r="20" spans="1:11" x14ac:dyDescent="0.3">
      <c r="D20" s="44"/>
      <c r="E20" s="4">
        <f>E19/F1</f>
        <v>0.97857142857142854</v>
      </c>
    </row>
    <row r="21" spans="1:11" x14ac:dyDescent="0.3">
      <c r="D21" s="44"/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156</v>
      </c>
      <c r="H23" s="27">
        <f t="shared" ref="H23:J23" si="4">SUMIF($B$13:$B$18,$F$23,H13:H18)</f>
        <v>8</v>
      </c>
      <c r="I23" s="27">
        <f t="shared" si="4"/>
        <v>557</v>
      </c>
      <c r="J23" s="27">
        <f t="shared" si="4"/>
        <v>393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156</v>
      </c>
      <c r="H25" s="7">
        <f t="shared" ref="H25:J25" si="6">SUM(H23:H24)</f>
        <v>8</v>
      </c>
      <c r="I25" s="7">
        <f t="shared" si="6"/>
        <v>557</v>
      </c>
      <c r="J25" s="7">
        <f t="shared" si="6"/>
        <v>393</v>
      </c>
    </row>
  </sheetData>
  <mergeCells count="1">
    <mergeCell ref="E11:G11"/>
  </mergeCells>
  <pageMargins left="0.25" right="0.25" top="0.75" bottom="0.75" header="0.3" footer="0.3"/>
  <pageSetup scale="8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86DA6-598C-4638-8306-92881EA10874}">
  <sheetPr>
    <pageSetUpPr fitToPage="1"/>
  </sheetPr>
  <dimension ref="A1:K25"/>
  <sheetViews>
    <sheetView showGridLines="0" zoomScaleNormal="100" workbookViewId="0">
      <selection activeCell="J14" sqref="J14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6640625" customWidth="1"/>
  </cols>
  <sheetData>
    <row r="1" spans="1:11" x14ac:dyDescent="0.3">
      <c r="A1" s="28" t="s">
        <v>3</v>
      </c>
      <c r="B1" s="28">
        <f>C19+(D19/B2)</f>
        <v>0.10416666666666667</v>
      </c>
      <c r="C1" s="81" t="s">
        <v>48</v>
      </c>
      <c r="E1" s="5" t="s">
        <v>26</v>
      </c>
      <c r="F1" s="6">
        <v>5</v>
      </c>
      <c r="G1" s="6" t="s">
        <v>18</v>
      </c>
    </row>
    <row r="2" spans="1:11" x14ac:dyDescent="0.3">
      <c r="A2" s="6" t="s">
        <v>6</v>
      </c>
      <c r="B2" s="6">
        <v>48</v>
      </c>
      <c r="E2" s="5" t="s">
        <v>16</v>
      </c>
      <c r="F2" s="35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5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15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150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60</v>
      </c>
    </row>
    <row r="11" spans="1:11" x14ac:dyDescent="0.3">
      <c r="A11" s="1">
        <v>45352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75</v>
      </c>
      <c r="B13" s="6" t="s">
        <v>25</v>
      </c>
      <c r="C13" s="9"/>
      <c r="D13" s="16">
        <v>5</v>
      </c>
      <c r="E13" s="31">
        <f>(C13*$B$2)+D13</f>
        <v>5</v>
      </c>
      <c r="F13" s="31">
        <f>E13*$B$4*$B$6</f>
        <v>150</v>
      </c>
      <c r="G13" s="31">
        <f t="shared" ref="G13:G18" si="0">F13*$B$8</f>
        <v>60</v>
      </c>
      <c r="H13" s="10"/>
      <c r="I13" s="20">
        <v>2837</v>
      </c>
      <c r="J13" s="33">
        <f>I13-G13-H13</f>
        <v>2777</v>
      </c>
      <c r="K13" s="24" t="s">
        <v>52</v>
      </c>
    </row>
    <row r="14" spans="1:11" x14ac:dyDescent="0.3">
      <c r="A14" s="6"/>
      <c r="B14" s="6"/>
      <c r="C14" s="9"/>
      <c r="D14" s="61"/>
      <c r="E14" s="31">
        <f>(C14*$B$2)+D14</f>
        <v>0</v>
      </c>
      <c r="F14" s="31">
        <f t="shared" ref="F14:F18" si="1">E14*$B$4*$B$6</f>
        <v>0</v>
      </c>
      <c r="G14" s="31">
        <f t="shared" si="0"/>
        <v>0</v>
      </c>
      <c r="H14" s="10"/>
      <c r="I14" s="21"/>
      <c r="J14" s="33">
        <f>I14-G14-H14</f>
        <v>0</v>
      </c>
      <c r="K14" s="24"/>
    </row>
    <row r="15" spans="1:11" x14ac:dyDescent="0.3">
      <c r="A15" s="6"/>
      <c r="B15" s="6"/>
      <c r="C15" s="9"/>
      <c r="D15" s="16"/>
      <c r="E15" s="31">
        <f t="shared" ref="E15:E18" si="2">(C15*$B$2)+D15</f>
        <v>0</v>
      </c>
      <c r="F15" s="31">
        <f t="shared" si="1"/>
        <v>0</v>
      </c>
      <c r="G15" s="31">
        <f t="shared" si="0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2"/>
        <v>0</v>
      </c>
      <c r="F16" s="31">
        <f t="shared" si="1"/>
        <v>0</v>
      </c>
      <c r="G16" s="31">
        <f t="shared" si="0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1"/>
        <v>0</v>
      </c>
      <c r="G17" s="31">
        <f t="shared" si="0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2"/>
        <v>0</v>
      </c>
      <c r="F18" s="31">
        <f t="shared" si="1"/>
        <v>0</v>
      </c>
      <c r="G18" s="31">
        <f t="shared" si="0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5</v>
      </c>
      <c r="E19" s="32">
        <f>SUM(E13:E18)</f>
        <v>5</v>
      </c>
      <c r="F19" s="32">
        <f>SUM(F13:F18)</f>
        <v>150</v>
      </c>
      <c r="G19" s="32">
        <f>SUM(G13:G18)</f>
        <v>60</v>
      </c>
      <c r="H19" s="11"/>
      <c r="I19" s="22"/>
      <c r="J19" s="34"/>
      <c r="K19" s="25"/>
    </row>
    <row r="20" spans="1:11" x14ac:dyDescent="0.3">
      <c r="D20" s="44"/>
      <c r="E20" s="4">
        <f>E19/F1</f>
        <v>1</v>
      </c>
    </row>
    <row r="21" spans="1:11" x14ac:dyDescent="0.3">
      <c r="D21" s="44"/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60</v>
      </c>
      <c r="H23" s="27">
        <f t="shared" ref="H23:J23" si="4">SUMIF($B$13:$B$18,$F$23,H13:H18)</f>
        <v>0</v>
      </c>
      <c r="I23" s="27">
        <f t="shared" si="4"/>
        <v>2837</v>
      </c>
      <c r="J23" s="27">
        <f t="shared" si="4"/>
        <v>2777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60</v>
      </c>
      <c r="H25" s="7">
        <f t="shared" ref="H25:J25" si="6">SUM(H23:H24)</f>
        <v>0</v>
      </c>
      <c r="I25" s="7">
        <f t="shared" si="6"/>
        <v>2837</v>
      </c>
      <c r="J25" s="7">
        <f t="shared" si="6"/>
        <v>2777</v>
      </c>
    </row>
  </sheetData>
  <mergeCells count="1">
    <mergeCell ref="E11:G11"/>
  </mergeCells>
  <pageMargins left="0.25" right="0.25" top="0.75" bottom="0.75" header="0.3" footer="0.3"/>
  <pageSetup scale="8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53A2-242B-4885-8534-BA23DA85C99F}">
  <sheetPr>
    <pageSetUpPr fitToPage="1"/>
  </sheetPr>
  <dimension ref="A1:K25"/>
  <sheetViews>
    <sheetView showGridLines="0" zoomScaleNormal="100" workbookViewId="0">
      <selection sqref="A1:K25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9.3187499999999996</v>
      </c>
      <c r="C1" s="119">
        <v>10</v>
      </c>
      <c r="E1" s="5" t="s">
        <v>26</v>
      </c>
      <c r="F1" s="162">
        <v>375</v>
      </c>
      <c r="G1" s="6" t="s">
        <v>18</v>
      </c>
    </row>
    <row r="2" spans="1:11" x14ac:dyDescent="0.3">
      <c r="A2" s="6" t="s">
        <v>6</v>
      </c>
      <c r="B2" s="6">
        <v>40</v>
      </c>
      <c r="E2" s="5" t="s">
        <v>16</v>
      </c>
      <c r="F2" s="169">
        <f>F1-B3</f>
        <v>2.25</v>
      </c>
      <c r="G2" s="6" t="s">
        <v>18</v>
      </c>
      <c r="H2" s="119">
        <v>3</v>
      </c>
    </row>
    <row r="3" spans="1:11" x14ac:dyDescent="0.3">
      <c r="A3" s="28" t="s">
        <v>0</v>
      </c>
      <c r="B3" s="29">
        <f>B1*B2</f>
        <v>372.75</v>
      </c>
      <c r="C3" s="119">
        <v>372</v>
      </c>
    </row>
    <row r="4" spans="1:11" x14ac:dyDescent="0.3">
      <c r="A4" s="6" t="s">
        <v>8</v>
      </c>
      <c r="B4" s="6">
        <v>4</v>
      </c>
    </row>
    <row r="5" spans="1:11" x14ac:dyDescent="0.3">
      <c r="A5" s="28" t="s">
        <v>1</v>
      </c>
      <c r="B5" s="29">
        <f>B3*B4</f>
        <v>1491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14910</v>
      </c>
    </row>
    <row r="8" spans="1:11" x14ac:dyDescent="0.3">
      <c r="A8" s="6" t="s">
        <v>7</v>
      </c>
      <c r="B8" s="6">
        <v>0.39700000000000002</v>
      </c>
    </row>
    <row r="9" spans="1:11" x14ac:dyDescent="0.3">
      <c r="A9" s="28" t="s">
        <v>4</v>
      </c>
      <c r="B9" s="29">
        <f>B7*B8</f>
        <v>5919.27</v>
      </c>
    </row>
    <row r="11" spans="1:11" x14ac:dyDescent="0.3">
      <c r="A11" s="1">
        <v>45699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43</v>
      </c>
      <c r="B13" s="6" t="s">
        <v>25</v>
      </c>
      <c r="C13" s="9">
        <v>1</v>
      </c>
      <c r="D13" s="61">
        <v>19</v>
      </c>
      <c r="E13" s="62">
        <f>(C13*$B$2)+D13</f>
        <v>59</v>
      </c>
      <c r="F13" s="31">
        <f>E13*$B$4*$B$6</f>
        <v>2360</v>
      </c>
      <c r="G13" s="31">
        <f>F13*$B$8</f>
        <v>936.92000000000007</v>
      </c>
      <c r="H13" s="10">
        <v>35</v>
      </c>
      <c r="I13" s="20">
        <v>1004.5</v>
      </c>
      <c r="J13" s="33">
        <f>I13-G13-H13</f>
        <v>32.579999999999927</v>
      </c>
      <c r="K13" s="24" t="s">
        <v>19</v>
      </c>
    </row>
    <row r="14" spans="1:11" x14ac:dyDescent="0.3">
      <c r="A14" s="6" t="s">
        <v>129</v>
      </c>
      <c r="B14" s="6" t="s">
        <v>25</v>
      </c>
      <c r="C14" s="9">
        <v>7</v>
      </c>
      <c r="D14" s="61">
        <v>33.75</v>
      </c>
      <c r="E14" s="62">
        <f>(C14*$B$2)+D14</f>
        <v>313.75</v>
      </c>
      <c r="F14" s="31">
        <f t="shared" ref="F14:F18" si="0">E14*$B$4*$B$6</f>
        <v>12550</v>
      </c>
      <c r="G14" s="31">
        <f t="shared" ref="G14:G18" si="1">F14*$B$8</f>
        <v>4982.3500000000004</v>
      </c>
      <c r="H14" s="10">
        <v>6</v>
      </c>
      <c r="I14" s="21">
        <v>5040</v>
      </c>
      <c r="J14" s="33">
        <f>I14-G14-H14</f>
        <v>51.649999999999636</v>
      </c>
      <c r="K14" s="24" t="s">
        <v>19</v>
      </c>
    </row>
    <row r="15" spans="1:11" x14ac:dyDescent="0.3">
      <c r="A15" s="6"/>
      <c r="B15" s="6"/>
      <c r="C15" s="9"/>
      <c r="D15" s="16"/>
      <c r="E15" s="31">
        <f t="shared" ref="E15:E18" si="2">(C15*$B$2)+D15</f>
        <v>0</v>
      </c>
      <c r="F15" s="31">
        <f t="shared" si="0"/>
        <v>0</v>
      </c>
      <c r="G15" s="31">
        <f t="shared" si="1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2"/>
        <v>0</v>
      </c>
      <c r="F16" s="31">
        <f t="shared" si="0"/>
        <v>0</v>
      </c>
      <c r="G16" s="31">
        <f t="shared" si="1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0"/>
        <v>0</v>
      </c>
      <c r="G17" s="31">
        <f t="shared" si="1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2"/>
        <v>0</v>
      </c>
      <c r="F18" s="31">
        <f t="shared" si="0"/>
        <v>0</v>
      </c>
      <c r="G18" s="31">
        <f t="shared" si="1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170">
        <f>SUM(C13:C18)</f>
        <v>8</v>
      </c>
      <c r="D19" s="164">
        <f>SUM(D13:D18)</f>
        <v>52.75</v>
      </c>
      <c r="E19" s="150">
        <f>SUM(E13:E18)</f>
        <v>372.75</v>
      </c>
      <c r="F19" s="32">
        <f>SUM(F13:F18)</f>
        <v>14910</v>
      </c>
      <c r="G19" s="32">
        <f>SUM(G13:G18)</f>
        <v>5919.27</v>
      </c>
      <c r="H19" s="11"/>
      <c r="I19" s="22"/>
      <c r="J19" s="34"/>
      <c r="K19" s="25"/>
    </row>
    <row r="20" spans="1:11" x14ac:dyDescent="0.3">
      <c r="E20" s="4">
        <f>E19/F1</f>
        <v>0.99399999999999999</v>
      </c>
    </row>
    <row r="21" spans="1:11" x14ac:dyDescent="0.3">
      <c r="E21" s="4"/>
    </row>
    <row r="22" spans="1:11" x14ac:dyDescent="0.3">
      <c r="E22" s="4"/>
      <c r="F22" s="54" t="s">
        <v>12</v>
      </c>
      <c r="G22" s="54" t="s">
        <v>4</v>
      </c>
      <c r="H22" s="55" t="s">
        <v>14</v>
      </c>
      <c r="I22" s="56" t="s">
        <v>13</v>
      </c>
      <c r="J22" s="54" t="s">
        <v>15</v>
      </c>
    </row>
    <row r="23" spans="1:11" x14ac:dyDescent="0.3">
      <c r="F23" s="26" t="s">
        <v>25</v>
      </c>
      <c r="G23" s="27">
        <f>SUMIF($B$13:$B$18,$F$23,G13:G18)</f>
        <v>5919.27</v>
      </c>
      <c r="H23" s="27">
        <f t="shared" ref="H23:J23" si="4">SUMIF($B$13:$B$18,$F$23,H13:H18)</f>
        <v>41</v>
      </c>
      <c r="I23" s="27">
        <f t="shared" si="4"/>
        <v>6044.5</v>
      </c>
      <c r="J23" s="27">
        <f t="shared" si="4"/>
        <v>84.229999999999563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5919.27</v>
      </c>
      <c r="H25" s="7">
        <f t="shared" ref="H25:J25" si="6">SUM(H23:H24)</f>
        <v>41</v>
      </c>
      <c r="I25" s="7">
        <f t="shared" si="6"/>
        <v>6044.5</v>
      </c>
      <c r="J25" s="7">
        <f t="shared" si="6"/>
        <v>84.229999999999563</v>
      </c>
    </row>
  </sheetData>
  <mergeCells count="1">
    <mergeCell ref="E11:G11"/>
  </mergeCells>
  <pageMargins left="0.25" right="0.25" top="0.75" bottom="0.75" header="0.3" footer="0.3"/>
  <pageSetup scale="85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C9E5B-7045-459E-887D-A94FE24B9A52}">
  <sheetPr>
    <pageSetUpPr fitToPage="1"/>
  </sheetPr>
  <dimension ref="A1:L25"/>
  <sheetViews>
    <sheetView showGridLines="0" zoomScaleNormal="100" workbookViewId="0">
      <selection activeCell="N29" sqref="N29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2" x14ac:dyDescent="0.3">
      <c r="A1" s="28" t="s">
        <v>3</v>
      </c>
      <c r="B1" s="28">
        <f>C19+(D19/B2)</f>
        <v>8.5500000000000007</v>
      </c>
      <c r="C1" s="69">
        <v>9</v>
      </c>
      <c r="E1" s="5" t="s">
        <v>26</v>
      </c>
      <c r="F1" s="6">
        <v>382</v>
      </c>
      <c r="G1" s="6" t="s">
        <v>18</v>
      </c>
    </row>
    <row r="2" spans="1:12" x14ac:dyDescent="0.3">
      <c r="A2" s="6" t="s">
        <v>6</v>
      </c>
      <c r="B2" s="6">
        <v>40</v>
      </c>
      <c r="E2" s="5" t="s">
        <v>16</v>
      </c>
      <c r="F2" s="35">
        <f>F1-E19</f>
        <v>40</v>
      </c>
      <c r="G2" s="6" t="s">
        <v>18</v>
      </c>
    </row>
    <row r="3" spans="1:12" x14ac:dyDescent="0.3">
      <c r="A3" s="28" t="s">
        <v>0</v>
      </c>
      <c r="B3" s="29">
        <f>B1*B2</f>
        <v>342</v>
      </c>
    </row>
    <row r="4" spans="1:12" x14ac:dyDescent="0.3">
      <c r="A4" s="6" t="s">
        <v>8</v>
      </c>
      <c r="B4" s="6">
        <v>4</v>
      </c>
    </row>
    <row r="5" spans="1:12" x14ac:dyDescent="0.3">
      <c r="A5" s="28" t="s">
        <v>1</v>
      </c>
      <c r="B5" s="29">
        <f>B3*B4</f>
        <v>1368</v>
      </c>
    </row>
    <row r="6" spans="1:12" x14ac:dyDescent="0.3">
      <c r="A6" s="6" t="s">
        <v>9</v>
      </c>
      <c r="B6" s="6">
        <v>10</v>
      </c>
    </row>
    <row r="7" spans="1:12" x14ac:dyDescent="0.3">
      <c r="A7" s="28" t="s">
        <v>2</v>
      </c>
      <c r="B7" s="29">
        <f>B5*B6</f>
        <v>13680</v>
      </c>
    </row>
    <row r="8" spans="1:12" x14ac:dyDescent="0.3">
      <c r="A8" s="6" t="s">
        <v>7</v>
      </c>
      <c r="B8" s="6">
        <v>0.42499999999999999</v>
      </c>
    </row>
    <row r="9" spans="1:12" x14ac:dyDescent="0.3">
      <c r="A9" s="28" t="s">
        <v>4</v>
      </c>
      <c r="B9" s="29">
        <f>B7*B8</f>
        <v>5814</v>
      </c>
    </row>
    <row r="11" spans="1:12" x14ac:dyDescent="0.3">
      <c r="A11" s="1">
        <v>45707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2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2" x14ac:dyDescent="0.3">
      <c r="A13" s="6" t="s">
        <v>131</v>
      </c>
      <c r="B13" s="6" t="s">
        <v>25</v>
      </c>
      <c r="C13" s="9">
        <v>8</v>
      </c>
      <c r="D13" s="16">
        <v>22</v>
      </c>
      <c r="E13" s="31">
        <f>(C13*$B$2)+D13</f>
        <v>342</v>
      </c>
      <c r="F13" s="31">
        <f>E13*$B$4*$B$6</f>
        <v>13680</v>
      </c>
      <c r="G13" s="31">
        <f>F13*$B$8</f>
        <v>5814</v>
      </c>
      <c r="H13" s="10">
        <v>20</v>
      </c>
      <c r="I13" s="20">
        <v>5940</v>
      </c>
      <c r="J13" s="33">
        <f>I13-G13-H13</f>
        <v>106</v>
      </c>
      <c r="K13" s="24" t="s">
        <v>35</v>
      </c>
      <c r="L13" s="2"/>
    </row>
    <row r="14" spans="1:12" x14ac:dyDescent="0.3">
      <c r="A14" s="6"/>
      <c r="B14" s="6"/>
      <c r="C14" s="9"/>
      <c r="D14" s="16"/>
      <c r="E14" s="31">
        <f t="shared" ref="E14:E18" si="0">(C14*$B$2)+D14</f>
        <v>0</v>
      </c>
      <c r="F14" s="31">
        <f t="shared" ref="F14:F18" si="1">E14*$B$4*$B$6</f>
        <v>0</v>
      </c>
      <c r="G14" s="31">
        <f t="shared" ref="G14:G18" si="2">F14*$B$8</f>
        <v>0</v>
      </c>
      <c r="H14" s="10"/>
      <c r="I14" s="21"/>
      <c r="J14" s="33">
        <f>I14-G14-H14</f>
        <v>0</v>
      </c>
      <c r="K14" s="24"/>
    </row>
    <row r="15" spans="1:12" x14ac:dyDescent="0.3">
      <c r="A15" s="6"/>
      <c r="B15" s="6"/>
      <c r="C15" s="9"/>
      <c r="D15" s="16"/>
      <c r="E15" s="31">
        <f t="shared" si="0"/>
        <v>0</v>
      </c>
      <c r="F15" s="31">
        <f t="shared" si="1"/>
        <v>0</v>
      </c>
      <c r="G15" s="31">
        <f t="shared" si="2"/>
        <v>0</v>
      </c>
      <c r="H15" s="10"/>
      <c r="I15" s="21"/>
      <c r="J15" s="33">
        <f t="shared" ref="J15:J18" si="3">I15-G15-H15</f>
        <v>0</v>
      </c>
      <c r="K15" s="24"/>
    </row>
    <row r="16" spans="1:12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8</v>
      </c>
      <c r="D19" s="17">
        <f>SUM(D13:D18)</f>
        <v>22</v>
      </c>
      <c r="E19" s="32">
        <f>SUM(E13:E18)</f>
        <v>342</v>
      </c>
      <c r="F19" s="32">
        <f>SUM(F13:F18)</f>
        <v>13680</v>
      </c>
      <c r="G19" s="32">
        <f>SUM(G13:G18)</f>
        <v>5814</v>
      </c>
      <c r="H19" s="11"/>
      <c r="I19" s="22"/>
      <c r="J19" s="34"/>
      <c r="K19" s="25"/>
    </row>
    <row r="20" spans="1:11" x14ac:dyDescent="0.3">
      <c r="E20" s="4">
        <f>E19/F1</f>
        <v>0.89528795811518325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5814</v>
      </c>
      <c r="H23" s="27">
        <f t="shared" ref="H23:J23" si="4">SUMIF($B$13:$B$18,$F$23,H13:H18)</f>
        <v>20</v>
      </c>
      <c r="I23" s="27">
        <f t="shared" si="4"/>
        <v>5940</v>
      </c>
      <c r="J23" s="27">
        <f t="shared" si="4"/>
        <v>106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5814</v>
      </c>
      <c r="H25" s="7">
        <f t="shared" ref="H25:J25" si="6">SUM(H23:H24)</f>
        <v>20</v>
      </c>
      <c r="I25" s="7">
        <f t="shared" si="6"/>
        <v>5940</v>
      </c>
      <c r="J25" s="7">
        <f t="shared" si="6"/>
        <v>106</v>
      </c>
    </row>
  </sheetData>
  <mergeCells count="1">
    <mergeCell ref="E11:G11"/>
  </mergeCells>
  <pageMargins left="0.7" right="0.7" top="0.75" bottom="0.75" header="0.3" footer="0.3"/>
  <pageSetup scale="7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523DF-AB5A-4A6A-80B5-B452B6EEEAAF}">
  <sheetPr>
    <pageSetUpPr fitToPage="1"/>
  </sheetPr>
  <dimension ref="A1:L26"/>
  <sheetViews>
    <sheetView showGridLines="0" zoomScaleNormal="100" workbookViewId="0">
      <selection activeCell="F7" sqref="F7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2" ht="23.4" x14ac:dyDescent="0.45">
      <c r="A1" s="28" t="s">
        <v>3</v>
      </c>
      <c r="B1" s="28">
        <f>C20+(D20/B2)</f>
        <v>7.2562499999999996</v>
      </c>
      <c r="C1" s="119">
        <v>8</v>
      </c>
      <c r="E1" s="5" t="s">
        <v>26</v>
      </c>
      <c r="F1" s="6">
        <v>325</v>
      </c>
      <c r="G1" s="6" t="s">
        <v>18</v>
      </c>
      <c r="I1" s="172" t="s">
        <v>132</v>
      </c>
    </row>
    <row r="2" spans="1:12" x14ac:dyDescent="0.3">
      <c r="A2" s="6" t="s">
        <v>6</v>
      </c>
      <c r="B2" s="6">
        <v>40</v>
      </c>
      <c r="C2" s="119"/>
      <c r="E2" s="5" t="s">
        <v>16</v>
      </c>
      <c r="F2" s="43">
        <f>F1-E14</f>
        <v>34.75</v>
      </c>
      <c r="G2" s="6" t="s">
        <v>18</v>
      </c>
    </row>
    <row r="3" spans="1:12" x14ac:dyDescent="0.3">
      <c r="A3" s="28" t="s">
        <v>0</v>
      </c>
      <c r="B3" s="29">
        <f>B1*B2</f>
        <v>290.25</v>
      </c>
      <c r="C3" s="119"/>
    </row>
    <row r="4" spans="1:12" x14ac:dyDescent="0.3">
      <c r="A4" s="6" t="s">
        <v>8</v>
      </c>
      <c r="B4" s="6">
        <v>4</v>
      </c>
      <c r="C4" s="119"/>
      <c r="F4" s="44"/>
    </row>
    <row r="5" spans="1:12" x14ac:dyDescent="0.3">
      <c r="A5" s="28" t="s">
        <v>1</v>
      </c>
      <c r="B5" s="29">
        <f>B3*B4</f>
        <v>1161</v>
      </c>
      <c r="C5" s="119"/>
      <c r="F5" s="44"/>
    </row>
    <row r="6" spans="1:12" x14ac:dyDescent="0.3">
      <c r="A6" s="6" t="s">
        <v>9</v>
      </c>
      <c r="B6" s="6">
        <v>10</v>
      </c>
      <c r="C6" s="119"/>
    </row>
    <row r="7" spans="1:12" x14ac:dyDescent="0.3">
      <c r="A7" s="28" t="s">
        <v>2</v>
      </c>
      <c r="B7" s="29">
        <f>B5*B6</f>
        <v>11610</v>
      </c>
      <c r="C7" s="153"/>
    </row>
    <row r="8" spans="1:12" x14ac:dyDescent="0.3">
      <c r="A8" s="6" t="s">
        <v>7</v>
      </c>
      <c r="B8" s="6">
        <v>0.42499999999999999</v>
      </c>
      <c r="C8" s="119"/>
    </row>
    <row r="9" spans="1:12" x14ac:dyDescent="0.3">
      <c r="A9" s="28" t="s">
        <v>4</v>
      </c>
      <c r="B9" s="160">
        <f>B7*B8</f>
        <v>4934.25</v>
      </c>
      <c r="C9" s="153"/>
      <c r="G9" s="166"/>
    </row>
    <row r="10" spans="1:12" x14ac:dyDescent="0.3">
      <c r="A10" s="157"/>
      <c r="C10" s="119"/>
    </row>
    <row r="12" spans="1:12" x14ac:dyDescent="0.3">
      <c r="A12" s="1">
        <v>45712</v>
      </c>
      <c r="B12" s="12"/>
      <c r="C12" s="12"/>
      <c r="D12" s="12"/>
      <c r="E12" s="228" t="s">
        <v>12</v>
      </c>
      <c r="F12" s="228"/>
      <c r="G12" s="228" t="s">
        <v>12</v>
      </c>
      <c r="H12" s="18" t="s">
        <v>14</v>
      </c>
      <c r="I12" s="19" t="s">
        <v>13</v>
      </c>
      <c r="J12" s="30" t="s">
        <v>15</v>
      </c>
      <c r="K12" s="18" t="s">
        <v>17</v>
      </c>
    </row>
    <row r="13" spans="1:12" x14ac:dyDescent="0.3">
      <c r="A13" s="13" t="s">
        <v>24</v>
      </c>
      <c r="B13" s="13" t="s">
        <v>20</v>
      </c>
      <c r="C13" s="13" t="s">
        <v>3</v>
      </c>
      <c r="D13" s="15" t="s">
        <v>10</v>
      </c>
      <c r="E13" s="30" t="s">
        <v>11</v>
      </c>
      <c r="F13" s="30" t="s">
        <v>5</v>
      </c>
      <c r="G13" s="30" t="s">
        <v>4</v>
      </c>
      <c r="H13" s="18" t="s">
        <v>4</v>
      </c>
      <c r="I13" s="19" t="s">
        <v>4</v>
      </c>
      <c r="J13" s="30" t="s">
        <v>4</v>
      </c>
      <c r="K13" s="23"/>
    </row>
    <row r="14" spans="1:12" x14ac:dyDescent="0.3">
      <c r="A14" s="6" t="s">
        <v>133</v>
      </c>
      <c r="B14" s="6" t="s">
        <v>25</v>
      </c>
      <c r="C14" s="9">
        <v>7</v>
      </c>
      <c r="D14" s="61">
        <v>10.25</v>
      </c>
      <c r="E14" s="62">
        <f>(C14*$B$2)+D14</f>
        <v>290.25</v>
      </c>
      <c r="F14" s="31">
        <f>E14*$B$4*$B$6</f>
        <v>11610</v>
      </c>
      <c r="G14" s="31">
        <f>F14*$B$8</f>
        <v>4934.25</v>
      </c>
      <c r="H14" s="10">
        <v>20</v>
      </c>
      <c r="I14" s="21">
        <v>5040</v>
      </c>
      <c r="J14" s="31">
        <f>I14-G14-H14</f>
        <v>85.75</v>
      </c>
      <c r="K14" s="24" t="s">
        <v>19</v>
      </c>
      <c r="L14" s="2"/>
    </row>
    <row r="15" spans="1:12" x14ac:dyDescent="0.3">
      <c r="A15" s="6"/>
      <c r="B15" s="6"/>
      <c r="C15" s="9"/>
      <c r="D15" s="16"/>
      <c r="E15" s="31">
        <f t="shared" ref="E15:E16" si="0">(C15*$B$2)+D15</f>
        <v>0</v>
      </c>
      <c r="F15" s="31">
        <f t="shared" ref="F15:F16" si="1">E15*$B$4*$B$6</f>
        <v>0</v>
      </c>
      <c r="G15" s="31">
        <f t="shared" ref="G15:G16" si="2">F15*$B$8</f>
        <v>0</v>
      </c>
      <c r="H15" s="10"/>
      <c r="I15" s="21"/>
      <c r="J15" s="31">
        <f t="shared" ref="J15:J16" si="3">I15-G15-H15</f>
        <v>0</v>
      </c>
      <c r="K15" s="24"/>
    </row>
    <row r="16" spans="1:12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1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ref="E17:E19" si="4">(C17*$B$2)+D17</f>
        <v>0</v>
      </c>
      <c r="F17" s="31">
        <f t="shared" ref="F17:F19" si="5">E17*$B$4*$B$6</f>
        <v>0</v>
      </c>
      <c r="G17" s="31">
        <f t="shared" ref="G17:G19" si="6">F17*$B$8</f>
        <v>0</v>
      </c>
      <c r="H17" s="10"/>
      <c r="I17" s="21"/>
      <c r="J17" s="31">
        <f t="shared" ref="J17:J19" si="7">I17-G17-H17</f>
        <v>0</v>
      </c>
      <c r="K17" s="24"/>
    </row>
    <row r="18" spans="1:11" x14ac:dyDescent="0.3">
      <c r="A18" s="6"/>
      <c r="B18" s="6"/>
      <c r="C18" s="9"/>
      <c r="D18" s="16"/>
      <c r="E18" s="31">
        <f t="shared" si="4"/>
        <v>0</v>
      </c>
      <c r="F18" s="31">
        <f t="shared" si="5"/>
        <v>0</v>
      </c>
      <c r="G18" s="31">
        <f t="shared" si="6"/>
        <v>0</v>
      </c>
      <c r="H18" s="10"/>
      <c r="I18" s="21"/>
      <c r="J18" s="31">
        <f t="shared" si="7"/>
        <v>0</v>
      </c>
      <c r="K18" s="24"/>
    </row>
    <row r="19" spans="1:11" x14ac:dyDescent="0.3">
      <c r="A19" s="6"/>
      <c r="B19" s="6"/>
      <c r="C19" s="9"/>
      <c r="D19" s="16"/>
      <c r="E19" s="31">
        <f t="shared" si="4"/>
        <v>0</v>
      </c>
      <c r="F19" s="31">
        <f t="shared" si="5"/>
        <v>0</v>
      </c>
      <c r="G19" s="31">
        <f t="shared" si="6"/>
        <v>0</v>
      </c>
      <c r="H19" s="10"/>
      <c r="I19" s="21"/>
      <c r="J19" s="31">
        <f t="shared" si="7"/>
        <v>0</v>
      </c>
      <c r="K19" s="24"/>
    </row>
    <row r="20" spans="1:11" x14ac:dyDescent="0.3">
      <c r="A20" s="5" t="s">
        <v>11</v>
      </c>
      <c r="B20" s="6"/>
      <c r="C20" s="7">
        <f>SUM(C14:C19)</f>
        <v>7</v>
      </c>
      <c r="D20" s="164">
        <f>SUM(D14:D19)</f>
        <v>10.25</v>
      </c>
      <c r="E20" s="150">
        <f>SUM(E14:E19)</f>
        <v>290.25</v>
      </c>
      <c r="F20" s="32">
        <f>SUM(F14:F19)</f>
        <v>11610</v>
      </c>
      <c r="G20" s="32">
        <f>SUM(G14:G19)</f>
        <v>4934.25</v>
      </c>
      <c r="H20" s="10"/>
      <c r="I20" s="158"/>
      <c r="J20" s="32"/>
      <c r="K20" s="25"/>
    </row>
    <row r="21" spans="1:11" x14ac:dyDescent="0.3">
      <c r="E21" s="4">
        <f>E20/F1</f>
        <v>0.8930769230769231</v>
      </c>
    </row>
    <row r="22" spans="1:11" x14ac:dyDescent="0.3">
      <c r="E22" s="4"/>
    </row>
    <row r="23" spans="1:11" x14ac:dyDescent="0.3">
      <c r="E23" s="4"/>
      <c r="F23" s="51" t="s">
        <v>12</v>
      </c>
      <c r="G23" s="51" t="s">
        <v>4</v>
      </c>
      <c r="H23" s="51" t="s">
        <v>14</v>
      </c>
      <c r="I23" s="51" t="s">
        <v>13</v>
      </c>
      <c r="J23" s="51" t="s">
        <v>15</v>
      </c>
    </row>
    <row r="24" spans="1:11" x14ac:dyDescent="0.3">
      <c r="F24" s="26" t="s">
        <v>25</v>
      </c>
      <c r="G24" s="27">
        <f>SUMIF($B$14:$B$19,$F$24,G14:G19)</f>
        <v>4934.25</v>
      </c>
      <c r="H24" s="27">
        <f t="shared" ref="H24:J24" si="8">SUMIF($B$14:$B$19,$F$24,H14:H19)</f>
        <v>20</v>
      </c>
      <c r="I24" s="27">
        <f t="shared" si="8"/>
        <v>5040</v>
      </c>
      <c r="J24" s="27">
        <f t="shared" si="8"/>
        <v>85.75</v>
      </c>
    </row>
    <row r="25" spans="1:11" x14ac:dyDescent="0.3">
      <c r="F25" s="14" t="s">
        <v>27</v>
      </c>
      <c r="G25" s="27">
        <f>SUMIF($B$14:$B$19,$F$25,G14:G19)</f>
        <v>0</v>
      </c>
      <c r="H25" s="27">
        <f t="shared" ref="H25:J25" si="9">SUMIF($B$14:$B$19,$F$25,H14:H19)</f>
        <v>0</v>
      </c>
      <c r="I25" s="27">
        <f t="shared" si="9"/>
        <v>0</v>
      </c>
      <c r="J25" s="27">
        <f t="shared" si="9"/>
        <v>0</v>
      </c>
    </row>
    <row r="26" spans="1:11" x14ac:dyDescent="0.3">
      <c r="F26" s="8" t="s">
        <v>34</v>
      </c>
      <c r="G26" s="7">
        <f>SUM(G24:G25)</f>
        <v>4934.25</v>
      </c>
      <c r="H26" s="7">
        <f t="shared" ref="H26:J26" si="10">SUM(H24:H25)</f>
        <v>20</v>
      </c>
      <c r="I26" s="7">
        <f t="shared" si="10"/>
        <v>5040</v>
      </c>
      <c r="J26" s="7">
        <f t="shared" si="10"/>
        <v>85.75</v>
      </c>
    </row>
  </sheetData>
  <mergeCells count="1">
    <mergeCell ref="E12:G12"/>
  </mergeCells>
  <pageMargins left="0.7" right="0.7" top="0.75" bottom="0.75" header="0.3" footer="0.3"/>
  <pageSetup scale="7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56F0-06AF-4531-9A7C-1D6287DFAB49}">
  <sheetPr>
    <pageSetUpPr fitToPage="1"/>
  </sheetPr>
  <dimension ref="A1:K25"/>
  <sheetViews>
    <sheetView showGridLines="0" zoomScaleNormal="100" workbookViewId="0">
      <selection activeCell="A13" sqref="A13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9.5500000000000007</v>
      </c>
      <c r="C1" s="117">
        <v>10</v>
      </c>
      <c r="E1" s="5" t="s">
        <v>26</v>
      </c>
      <c r="F1" s="6">
        <v>382</v>
      </c>
      <c r="G1" s="6" t="s">
        <v>18</v>
      </c>
      <c r="I1" s="69" t="s">
        <v>39</v>
      </c>
    </row>
    <row r="2" spans="1:11" x14ac:dyDescent="0.3">
      <c r="A2" s="6" t="s">
        <v>6</v>
      </c>
      <c r="B2" s="6">
        <v>40</v>
      </c>
      <c r="E2" s="5" t="s">
        <v>16</v>
      </c>
      <c r="F2" s="35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382</v>
      </c>
    </row>
    <row r="4" spans="1:11" x14ac:dyDescent="0.3">
      <c r="A4" s="6" t="s">
        <v>8</v>
      </c>
      <c r="B4" s="6">
        <v>4</v>
      </c>
    </row>
    <row r="5" spans="1:11" x14ac:dyDescent="0.3">
      <c r="A5" s="28" t="s">
        <v>1</v>
      </c>
      <c r="B5" s="29">
        <f>B3*B4</f>
        <v>1528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15280</v>
      </c>
    </row>
    <row r="8" spans="1:11" x14ac:dyDescent="0.3">
      <c r="A8" s="6" t="s">
        <v>7</v>
      </c>
      <c r="B8" s="6">
        <v>0.39700000000000002</v>
      </c>
    </row>
    <row r="9" spans="1:11" x14ac:dyDescent="0.3">
      <c r="A9" s="28" t="s">
        <v>4</v>
      </c>
      <c r="B9" s="29">
        <f>B7*B8</f>
        <v>6066.16</v>
      </c>
    </row>
    <row r="11" spans="1:11" x14ac:dyDescent="0.3">
      <c r="A11" s="1">
        <v>45649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121</v>
      </c>
      <c r="B13" s="6" t="s">
        <v>25</v>
      </c>
      <c r="C13" s="9">
        <v>3</v>
      </c>
      <c r="D13" s="16">
        <v>29</v>
      </c>
      <c r="E13" s="31">
        <f t="shared" ref="E13:E18" si="0">(C13*$B$2)+D13</f>
        <v>149</v>
      </c>
      <c r="F13" s="31">
        <f t="shared" ref="F13:F18" si="1">E13*$B$4*$B$6</f>
        <v>5960</v>
      </c>
      <c r="G13" s="31">
        <f t="shared" ref="G13:G18" si="2">F13*$B$8</f>
        <v>2366.12</v>
      </c>
      <c r="H13" s="10"/>
      <c r="I13" s="20">
        <v>2414</v>
      </c>
      <c r="J13" s="33">
        <f>I13-G13-H13</f>
        <v>47.880000000000109</v>
      </c>
      <c r="K13" s="24" t="s">
        <v>19</v>
      </c>
    </row>
    <row r="14" spans="1:11" x14ac:dyDescent="0.3">
      <c r="A14" t="s">
        <v>122</v>
      </c>
      <c r="B14" s="6" t="s">
        <v>25</v>
      </c>
      <c r="C14" s="9">
        <v>5</v>
      </c>
      <c r="D14" s="16">
        <v>33</v>
      </c>
      <c r="E14" s="31">
        <f t="shared" si="0"/>
        <v>233</v>
      </c>
      <c r="F14" s="31">
        <f t="shared" si="1"/>
        <v>9320</v>
      </c>
      <c r="G14" s="31">
        <f t="shared" si="2"/>
        <v>3700.04</v>
      </c>
      <c r="H14" s="10"/>
      <c r="I14" s="21">
        <v>5400</v>
      </c>
      <c r="J14" s="33">
        <f>I14-G14-H14</f>
        <v>1699.96</v>
      </c>
      <c r="K14" s="24" t="s">
        <v>52</v>
      </c>
    </row>
    <row r="15" spans="1:11" x14ac:dyDescent="0.3">
      <c r="A15" s="6"/>
      <c r="B15" s="6"/>
      <c r="C15" s="9"/>
      <c r="D15" s="16"/>
      <c r="E15" s="31">
        <f t="shared" si="0"/>
        <v>0</v>
      </c>
      <c r="F15" s="31">
        <v>0</v>
      </c>
      <c r="G15" s="31"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8</v>
      </c>
      <c r="D19" s="17">
        <f>SUM(D13:D18)</f>
        <v>62</v>
      </c>
      <c r="E19" s="32">
        <f>SUM(E13:E18)</f>
        <v>382</v>
      </c>
      <c r="F19" s="32">
        <f>SUM(F13:F18)</f>
        <v>15280</v>
      </c>
      <c r="G19" s="32">
        <f>SUM(G13:G18)</f>
        <v>6066.16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6066.16</v>
      </c>
      <c r="H23" s="27">
        <f t="shared" ref="H23:I23" si="4">SUMIF($B$13:$B$18,$F$23,H13:H18)</f>
        <v>0</v>
      </c>
      <c r="I23" s="27">
        <f t="shared" si="4"/>
        <v>7814</v>
      </c>
      <c r="J23" s="27">
        <f>SUMIF($B$13:$B$18,$F$23,J13:J18)</f>
        <v>1747.8400000000001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6066.16</v>
      </c>
      <c r="H25" s="7">
        <f t="shared" ref="H25:J25" si="6">SUM(H23:H24)</f>
        <v>0</v>
      </c>
      <c r="I25" s="7">
        <f t="shared" si="6"/>
        <v>7814</v>
      </c>
      <c r="J25" s="7">
        <f t="shared" si="6"/>
        <v>1747.8400000000001</v>
      </c>
    </row>
  </sheetData>
  <mergeCells count="1">
    <mergeCell ref="E11:G11"/>
  </mergeCells>
  <pageMargins left="0.7" right="0.7" top="0.75" bottom="0.75" header="0.3" footer="0.3"/>
  <pageSetup scale="7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58C15-2E83-40A0-9AAD-B768438A4EB5}">
  <sheetPr>
    <pageSetUpPr fitToPage="1"/>
  </sheetPr>
  <dimension ref="A1:K57"/>
  <sheetViews>
    <sheetView showGridLines="0" zoomScaleNormal="100" workbookViewId="0">
      <selection activeCell="C2" sqref="C2"/>
    </sheetView>
  </sheetViews>
  <sheetFormatPr defaultRowHeight="14.4" x14ac:dyDescent="0.3"/>
  <cols>
    <col min="1" max="1" width="28.88671875" bestFit="1" customWidth="1"/>
    <col min="2" max="2" width="12.5546875" bestFit="1" customWidth="1"/>
    <col min="7" max="7" width="14.33203125" customWidth="1"/>
    <col min="9" max="10" width="10.6640625" customWidth="1"/>
    <col min="11" max="11" width="44.88671875" bestFit="1" customWidth="1"/>
  </cols>
  <sheetData>
    <row r="1" spans="1:11" x14ac:dyDescent="0.3">
      <c r="A1" s="28" t="s">
        <v>3</v>
      </c>
      <c r="B1" s="167">
        <f>C19+(D19/B2)</f>
        <v>9.2750000000000004</v>
      </c>
      <c r="C1" s="69">
        <v>10</v>
      </c>
      <c r="E1" s="5" t="s">
        <v>26</v>
      </c>
      <c r="F1" s="6">
        <v>400</v>
      </c>
      <c r="G1" s="6" t="s">
        <v>18</v>
      </c>
      <c r="I1" s="69" t="s">
        <v>40</v>
      </c>
    </row>
    <row r="2" spans="1:11" x14ac:dyDescent="0.3">
      <c r="A2" s="6" t="s">
        <v>6</v>
      </c>
      <c r="B2" s="168">
        <v>40</v>
      </c>
      <c r="E2" s="5" t="s">
        <v>16</v>
      </c>
      <c r="F2" s="73">
        <f>F1-B3</f>
        <v>29</v>
      </c>
      <c r="G2" s="6" t="s">
        <v>18</v>
      </c>
      <c r="I2" s="48" t="s">
        <v>167</v>
      </c>
    </row>
    <row r="3" spans="1:11" x14ac:dyDescent="0.3">
      <c r="A3" s="28" t="s">
        <v>0</v>
      </c>
      <c r="B3" s="203">
        <f>B1*B2</f>
        <v>371</v>
      </c>
    </row>
    <row r="4" spans="1:11" x14ac:dyDescent="0.3">
      <c r="A4" s="6" t="s">
        <v>8</v>
      </c>
      <c r="B4" s="168">
        <v>4</v>
      </c>
    </row>
    <row r="5" spans="1:11" x14ac:dyDescent="0.3">
      <c r="A5" s="28" t="s">
        <v>1</v>
      </c>
      <c r="B5" s="167">
        <f>B3*B4</f>
        <v>1484</v>
      </c>
    </row>
    <row r="6" spans="1:11" x14ac:dyDescent="0.3">
      <c r="A6" s="6" t="s">
        <v>9</v>
      </c>
      <c r="B6" s="168">
        <v>10</v>
      </c>
    </row>
    <row r="7" spans="1:11" x14ac:dyDescent="0.3">
      <c r="A7" s="28" t="s">
        <v>2</v>
      </c>
      <c r="B7" s="167">
        <f>B5*B6</f>
        <v>14840</v>
      </c>
    </row>
    <row r="8" spans="1:11" x14ac:dyDescent="0.3">
      <c r="A8" s="6" t="s">
        <v>7</v>
      </c>
      <c r="B8" s="205">
        <v>0.39700000000000002</v>
      </c>
    </row>
    <row r="9" spans="1:11" x14ac:dyDescent="0.3">
      <c r="A9" s="28" t="s">
        <v>4</v>
      </c>
      <c r="B9" s="167">
        <f>B7*B8</f>
        <v>5891.4800000000005</v>
      </c>
    </row>
    <row r="11" spans="1:11" x14ac:dyDescent="0.3">
      <c r="A11" s="1">
        <v>45817</v>
      </c>
      <c r="B11" s="12"/>
      <c r="C11" s="12"/>
      <c r="D11" s="12"/>
      <c r="E11" s="30" t="s">
        <v>12</v>
      </c>
      <c r="F11" s="30"/>
      <c r="G11" s="30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166</v>
      </c>
      <c r="B13" s="6" t="s">
        <v>25</v>
      </c>
      <c r="C13" s="9">
        <v>1</v>
      </c>
      <c r="D13" s="16">
        <v>7</v>
      </c>
      <c r="E13" s="31">
        <f t="shared" ref="E13:E18" si="0">(C13*$B$2)+D13</f>
        <v>47</v>
      </c>
      <c r="F13" s="31">
        <f t="shared" ref="F13:F18" si="1">E13*$B$4*$B$6</f>
        <v>1880</v>
      </c>
      <c r="G13" s="62">
        <f>F13*$B$8</f>
        <v>746.36</v>
      </c>
      <c r="H13" s="10">
        <v>12</v>
      </c>
      <c r="I13" s="83">
        <v>840.51</v>
      </c>
      <c r="J13" s="141">
        <f>I13-G13-H13</f>
        <v>82.149999999999977</v>
      </c>
      <c r="K13" s="2" t="s">
        <v>19</v>
      </c>
    </row>
    <row r="14" spans="1:11" x14ac:dyDescent="0.3">
      <c r="A14" s="6" t="s">
        <v>173</v>
      </c>
      <c r="B14" s="6" t="s">
        <v>25</v>
      </c>
      <c r="C14" s="9">
        <v>8</v>
      </c>
      <c r="D14" s="61">
        <v>4</v>
      </c>
      <c r="E14" s="31">
        <f t="shared" si="0"/>
        <v>324</v>
      </c>
      <c r="F14" s="31">
        <f t="shared" ref="F14" si="2">E14*$B$4*$B$6</f>
        <v>12960</v>
      </c>
      <c r="G14" s="31">
        <f>F14*$B$8</f>
        <v>5145.12</v>
      </c>
      <c r="H14" s="10"/>
      <c r="I14" s="83">
        <v>6120</v>
      </c>
      <c r="J14" s="141">
        <f>I14-G14-H14</f>
        <v>974.88000000000011</v>
      </c>
      <c r="K14" s="24" t="s">
        <v>52</v>
      </c>
    </row>
    <row r="15" spans="1:11" x14ac:dyDescent="0.3">
      <c r="A15" s="6"/>
      <c r="B15" s="6"/>
      <c r="C15" s="9"/>
      <c r="D15" s="61"/>
      <c r="E15" s="31">
        <f t="shared" si="0"/>
        <v>0</v>
      </c>
      <c r="F15" s="31">
        <f t="shared" si="1"/>
        <v>0</v>
      </c>
      <c r="G15" s="31">
        <f t="shared" ref="G15:G18" si="3">F15*$B$8</f>
        <v>0</v>
      </c>
      <c r="H15" s="10"/>
      <c r="J15" s="33"/>
      <c r="K15" s="24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3"/>
        <v>0</v>
      </c>
      <c r="H16" s="10"/>
      <c r="I16" s="21"/>
      <c r="J16" s="82"/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3"/>
        <v>0</v>
      </c>
      <c r="H17" s="10"/>
      <c r="I17" s="21"/>
      <c r="J17" s="33"/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3"/>
        <v>0</v>
      </c>
      <c r="H18" s="10"/>
      <c r="I18" s="21"/>
      <c r="J18" s="33"/>
      <c r="K18" s="24"/>
    </row>
    <row r="19" spans="1:11" x14ac:dyDescent="0.3">
      <c r="A19" s="5" t="s">
        <v>11</v>
      </c>
      <c r="B19" s="6"/>
      <c r="C19" s="7">
        <f>SUM(C13:C18)</f>
        <v>9</v>
      </c>
      <c r="D19" s="17">
        <f>SUM(D13:D18)</f>
        <v>11</v>
      </c>
      <c r="E19" s="32">
        <f>SUM(E13:E18)</f>
        <v>371</v>
      </c>
      <c r="F19" s="32">
        <f>SUM(F13:F18)</f>
        <v>14840</v>
      </c>
      <c r="G19" s="132">
        <f>SUM(G13:G18)</f>
        <v>5891.48</v>
      </c>
      <c r="H19" s="11"/>
      <c r="I19" s="22"/>
      <c r="J19" s="34"/>
      <c r="K19" s="25"/>
    </row>
    <row r="20" spans="1:11" x14ac:dyDescent="0.3">
      <c r="E20" s="4">
        <f>E19/F1</f>
        <v>0.92749999999999999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5891.48</v>
      </c>
      <c r="H23" s="27">
        <f t="shared" ref="H23:I23" si="4">SUMIF($B$13:$B$18,$F$23,H13:H18)</f>
        <v>12</v>
      </c>
      <c r="I23" s="27">
        <f t="shared" si="4"/>
        <v>6960.51</v>
      </c>
      <c r="J23" s="27">
        <f ca="1">SUMIF($B$13:$B$18,$F$23,J14:J18)</f>
        <v>974.88000000000011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I24" si="5">SUMIF($B$13:$B$18,$F$24,H13:H18)</f>
        <v>0</v>
      </c>
      <c r="I24" s="27">
        <f t="shared" si="5"/>
        <v>0</v>
      </c>
      <c r="J24" s="27">
        <f ca="1">SUMIF($B$13:$B$18,$F$24,J14:J18)</f>
        <v>0</v>
      </c>
    </row>
    <row r="25" spans="1:11" x14ac:dyDescent="0.3">
      <c r="F25" s="8" t="s">
        <v>34</v>
      </c>
      <c r="G25" s="7">
        <f>SUM(G23:G24)</f>
        <v>5891.48</v>
      </c>
      <c r="H25" s="7">
        <f t="shared" ref="H25:I25" si="6">SUM(H23:H24)</f>
        <v>12</v>
      </c>
      <c r="I25" s="7">
        <f t="shared" si="6"/>
        <v>6960.51</v>
      </c>
      <c r="J25" s="7">
        <f ca="1">SUM(J23:J24)</f>
        <v>974.88000000000011</v>
      </c>
    </row>
    <row r="33" spans="1:11" x14ac:dyDescent="0.3">
      <c r="A33" s="47"/>
      <c r="B33" s="189"/>
      <c r="C33" s="81"/>
      <c r="E33" s="47"/>
      <c r="I33" s="81"/>
    </row>
    <row r="34" spans="1:11" x14ac:dyDescent="0.3">
      <c r="B34" s="190"/>
      <c r="E34" s="47"/>
    </row>
    <row r="35" spans="1:11" x14ac:dyDescent="0.3">
      <c r="A35" s="47"/>
      <c r="B35" s="189"/>
    </row>
    <row r="36" spans="1:11" x14ac:dyDescent="0.3">
      <c r="B36" s="190"/>
    </row>
    <row r="37" spans="1:11" x14ac:dyDescent="0.3">
      <c r="A37" s="47"/>
      <c r="B37" s="189"/>
    </row>
    <row r="38" spans="1:11" x14ac:dyDescent="0.3">
      <c r="B38" s="190"/>
    </row>
    <row r="39" spans="1:11" x14ac:dyDescent="0.3">
      <c r="A39" s="47"/>
      <c r="B39" s="189"/>
    </row>
    <row r="40" spans="1:11" x14ac:dyDescent="0.3">
      <c r="B40" s="190"/>
    </row>
    <row r="41" spans="1:11" x14ac:dyDescent="0.3">
      <c r="A41" s="47"/>
      <c r="B41" s="189"/>
    </row>
    <row r="43" spans="1:11" x14ac:dyDescent="0.3">
      <c r="A43" s="1"/>
      <c r="B43" s="12"/>
      <c r="C43" s="12"/>
      <c r="D43" s="12"/>
      <c r="E43" s="231"/>
      <c r="F43" s="231"/>
      <c r="G43" s="231"/>
      <c r="H43" s="191"/>
      <c r="I43" s="191"/>
      <c r="J43" s="191"/>
      <c r="K43" s="191"/>
    </row>
    <row r="44" spans="1:11" x14ac:dyDescent="0.3">
      <c r="A44" s="81"/>
      <c r="B44" s="81"/>
      <c r="C44" s="81"/>
      <c r="D44" s="81"/>
      <c r="E44" s="191"/>
      <c r="F44" s="191"/>
      <c r="G44" s="191"/>
      <c r="H44" s="191"/>
      <c r="I44" s="191"/>
      <c r="J44" s="191"/>
      <c r="K44" s="12"/>
    </row>
    <row r="45" spans="1:11" x14ac:dyDescent="0.3">
      <c r="C45" s="192"/>
      <c r="D45" s="44"/>
      <c r="E45" s="155"/>
      <c r="F45" s="155"/>
      <c r="G45" s="193"/>
      <c r="H45" s="155"/>
      <c r="I45" s="194"/>
      <c r="J45" s="195"/>
      <c r="K45" s="2"/>
    </row>
    <row r="46" spans="1:11" x14ac:dyDescent="0.3">
      <c r="C46" s="192"/>
      <c r="D46" s="44"/>
      <c r="E46" s="155"/>
      <c r="F46" s="155"/>
      <c r="G46" s="193"/>
      <c r="H46" s="155"/>
      <c r="I46" s="155"/>
      <c r="J46" s="195"/>
      <c r="K46" s="2"/>
    </row>
    <row r="47" spans="1:11" x14ac:dyDescent="0.3">
      <c r="C47" s="192"/>
      <c r="D47" s="44"/>
      <c r="E47" s="155"/>
      <c r="F47" s="155"/>
      <c r="G47" s="155"/>
      <c r="H47" s="155"/>
      <c r="J47" s="195"/>
      <c r="K47" s="2"/>
    </row>
    <row r="48" spans="1:11" x14ac:dyDescent="0.3">
      <c r="C48" s="192"/>
      <c r="D48" s="44"/>
      <c r="E48" s="155"/>
      <c r="F48" s="155"/>
      <c r="G48" s="155"/>
      <c r="H48" s="155"/>
      <c r="I48" s="155"/>
      <c r="J48" s="196"/>
      <c r="K48" s="2"/>
    </row>
    <row r="49" spans="1:11" x14ac:dyDescent="0.3">
      <c r="C49" s="192"/>
      <c r="D49" s="44"/>
      <c r="E49" s="155"/>
      <c r="F49" s="155"/>
      <c r="G49" s="155"/>
      <c r="H49" s="155"/>
      <c r="I49" s="155"/>
      <c r="J49" s="195"/>
      <c r="K49" s="2"/>
    </row>
    <row r="50" spans="1:11" x14ac:dyDescent="0.3">
      <c r="C50" s="192"/>
      <c r="D50" s="44"/>
      <c r="E50" s="155"/>
      <c r="F50" s="155"/>
      <c r="G50" s="155"/>
      <c r="H50" s="155"/>
      <c r="I50" s="155"/>
      <c r="J50" s="195"/>
      <c r="K50" s="2"/>
    </row>
    <row r="51" spans="1:11" x14ac:dyDescent="0.3">
      <c r="A51" s="47"/>
      <c r="C51" s="126"/>
      <c r="D51" s="126"/>
      <c r="E51" s="197"/>
      <c r="F51" s="197"/>
      <c r="G51" s="198"/>
      <c r="H51" s="199"/>
      <c r="I51" s="200"/>
      <c r="J51" s="200"/>
    </row>
    <row r="52" spans="1:11" x14ac:dyDescent="0.3">
      <c r="E52" s="4"/>
    </row>
    <row r="53" spans="1:11" x14ac:dyDescent="0.3">
      <c r="E53" s="4"/>
    </row>
    <row r="54" spans="1:11" x14ac:dyDescent="0.3">
      <c r="E54" s="4"/>
      <c r="F54" s="201"/>
      <c r="G54" s="201"/>
      <c r="H54" s="201"/>
      <c r="I54" s="201"/>
      <c r="J54" s="201"/>
    </row>
    <row r="55" spans="1:11" x14ac:dyDescent="0.3">
      <c r="F55" s="202"/>
      <c r="G55" s="44"/>
      <c r="H55" s="44"/>
      <c r="I55" s="44"/>
      <c r="J55" s="44"/>
    </row>
    <row r="56" spans="1:11" x14ac:dyDescent="0.3">
      <c r="F56" s="202"/>
      <c r="G56" s="44"/>
      <c r="H56" s="44"/>
      <c r="I56" s="44"/>
      <c r="J56" s="44"/>
    </row>
    <row r="57" spans="1:11" x14ac:dyDescent="0.3">
      <c r="F57" s="125"/>
      <c r="G57" s="126"/>
      <c r="H57" s="126"/>
      <c r="I57" s="126"/>
      <c r="J57" s="126"/>
    </row>
  </sheetData>
  <mergeCells count="1">
    <mergeCell ref="E43:G43"/>
  </mergeCells>
  <pageMargins left="0.7" right="0.7" top="0.75" bottom="0.75" header="0.3" footer="0.3"/>
  <pageSetup scale="75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17FFD-CDCA-47AE-B207-EE7E972D57B1}">
  <sheetPr>
    <pageSetUpPr fitToPage="1"/>
  </sheetPr>
  <dimension ref="A1:O25"/>
  <sheetViews>
    <sheetView showGridLines="0" zoomScaleNormal="100" workbookViewId="0">
      <selection activeCell="D9" sqref="D9"/>
    </sheetView>
  </sheetViews>
  <sheetFormatPr defaultRowHeight="14.4" x14ac:dyDescent="0.3"/>
  <cols>
    <col min="1" max="1" width="28.88671875" bestFit="1" customWidth="1"/>
    <col min="7" max="7" width="14.33203125" customWidth="1"/>
    <col min="8" max="8" width="9.88671875" bestFit="1" customWidth="1"/>
    <col min="9" max="9" width="12.88671875" customWidth="1"/>
    <col min="10" max="10" width="10.6640625" customWidth="1"/>
    <col min="11" max="11" width="44.88671875" bestFit="1" customWidth="1"/>
  </cols>
  <sheetData>
    <row r="1" spans="1:15" ht="21" x14ac:dyDescent="0.4">
      <c r="A1" s="28" t="s">
        <v>3</v>
      </c>
      <c r="B1" s="28">
        <f>C19+(D19/B2)</f>
        <v>6.9749999999999996</v>
      </c>
      <c r="C1" s="69">
        <v>7</v>
      </c>
      <c r="E1" s="5" t="s">
        <v>26</v>
      </c>
      <c r="F1" s="6">
        <v>305</v>
      </c>
      <c r="G1" s="6" t="s">
        <v>18</v>
      </c>
      <c r="I1" s="171" t="s">
        <v>97</v>
      </c>
    </row>
    <row r="2" spans="1:15" ht="21" x14ac:dyDescent="0.4">
      <c r="A2" s="6" t="s">
        <v>6</v>
      </c>
      <c r="B2" s="6">
        <v>40</v>
      </c>
      <c r="E2" s="5" t="s">
        <v>16</v>
      </c>
      <c r="F2" s="35">
        <f>F1-B3</f>
        <v>26</v>
      </c>
      <c r="G2" s="6" t="s">
        <v>18</v>
      </c>
      <c r="I2" s="171" t="s">
        <v>130</v>
      </c>
    </row>
    <row r="3" spans="1:15" x14ac:dyDescent="0.3">
      <c r="A3" s="28" t="s">
        <v>0</v>
      </c>
      <c r="B3" s="70">
        <f>B1*B2</f>
        <v>279</v>
      </c>
    </row>
    <row r="4" spans="1:15" x14ac:dyDescent="0.3">
      <c r="A4" s="6" t="s">
        <v>8</v>
      </c>
      <c r="B4" s="6">
        <v>4</v>
      </c>
    </row>
    <row r="5" spans="1:15" x14ac:dyDescent="0.3">
      <c r="A5" s="28" t="s">
        <v>1</v>
      </c>
      <c r="B5" s="29">
        <f>B3*B4</f>
        <v>1116</v>
      </c>
    </row>
    <row r="6" spans="1:15" x14ac:dyDescent="0.3">
      <c r="A6" s="6" t="s">
        <v>9</v>
      </c>
      <c r="B6" s="6">
        <v>10</v>
      </c>
      <c r="O6">
        <f>+N6*40*0.397</f>
        <v>0</v>
      </c>
    </row>
    <row r="7" spans="1:15" x14ac:dyDescent="0.3">
      <c r="A7" s="28" t="s">
        <v>2</v>
      </c>
      <c r="B7" s="29">
        <f>B5*B6</f>
        <v>11160</v>
      </c>
    </row>
    <row r="8" spans="1:15" x14ac:dyDescent="0.3">
      <c r="A8" s="6" t="s">
        <v>7</v>
      </c>
      <c r="B8" s="6">
        <v>0.39700000000000002</v>
      </c>
    </row>
    <row r="9" spans="1:15" x14ac:dyDescent="0.3">
      <c r="A9" s="28" t="s">
        <v>4</v>
      </c>
      <c r="B9" s="70">
        <f>B7*B8</f>
        <v>4430.5200000000004</v>
      </c>
      <c r="K9" s="77"/>
    </row>
    <row r="11" spans="1:15" x14ac:dyDescent="0.3">
      <c r="A11" s="1">
        <v>45786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5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5" x14ac:dyDescent="0.3">
      <c r="A13" t="s">
        <v>171</v>
      </c>
      <c r="B13" s="6" t="s">
        <v>25</v>
      </c>
      <c r="C13" s="9">
        <v>6</v>
      </c>
      <c r="D13" s="16">
        <v>39</v>
      </c>
      <c r="E13" s="31">
        <f t="shared" ref="E13" si="0">(C13*$B$2)+D13</f>
        <v>279</v>
      </c>
      <c r="F13" s="31">
        <f t="shared" ref="F13" si="1">E13*$B$4*$B$6</f>
        <v>11160</v>
      </c>
      <c r="G13" s="62">
        <f>F13*$B$8</f>
        <v>4430.5200000000004</v>
      </c>
      <c r="H13" s="10">
        <v>10</v>
      </c>
      <c r="I13" s="83">
        <v>4500</v>
      </c>
      <c r="J13" s="141">
        <f>I13-G13-H13</f>
        <v>59.479999999999563</v>
      </c>
      <c r="K13" s="24" t="s">
        <v>19</v>
      </c>
    </row>
    <row r="14" spans="1:15" x14ac:dyDescent="0.3">
      <c r="A14" s="6"/>
      <c r="B14" s="6"/>
      <c r="C14" s="9"/>
      <c r="D14" s="16"/>
      <c r="E14" s="31"/>
      <c r="F14" s="31"/>
      <c r="G14" s="62"/>
      <c r="H14" s="10"/>
      <c r="I14" s="83"/>
      <c r="J14" s="141"/>
    </row>
    <row r="15" spans="1:15" x14ac:dyDescent="0.3">
      <c r="A15" s="6"/>
      <c r="B15" s="6"/>
      <c r="C15" s="9"/>
      <c r="D15" s="71"/>
      <c r="E15" s="72"/>
      <c r="F15" s="31"/>
      <c r="G15" s="62"/>
      <c r="H15" s="10"/>
      <c r="I15" s="118"/>
      <c r="J15" s="141"/>
      <c r="K15" s="24"/>
    </row>
    <row r="16" spans="1:15" x14ac:dyDescent="0.3">
      <c r="A16" s="6"/>
      <c r="B16" s="6"/>
      <c r="C16" s="9"/>
      <c r="D16" s="16"/>
      <c r="E16" s="31"/>
      <c r="F16" s="31"/>
      <c r="G16" s="62"/>
      <c r="H16" s="10"/>
      <c r="I16" s="20"/>
      <c r="J16" s="141"/>
      <c r="K16" s="24"/>
    </row>
    <row r="17" spans="1:11" x14ac:dyDescent="0.3">
      <c r="A17" s="6"/>
      <c r="B17" s="6"/>
      <c r="C17" s="9"/>
      <c r="D17" s="16"/>
      <c r="E17" s="31"/>
      <c r="F17" s="31"/>
      <c r="G17" s="62"/>
      <c r="H17" s="10"/>
      <c r="I17" s="20"/>
      <c r="J17" s="141"/>
      <c r="K17" s="24"/>
    </row>
    <row r="18" spans="1:11" x14ac:dyDescent="0.3">
      <c r="A18" s="6"/>
      <c r="B18" s="6"/>
      <c r="C18" s="9"/>
      <c r="D18" s="16"/>
      <c r="E18" s="31"/>
      <c r="F18" s="31"/>
      <c r="G18" s="62"/>
      <c r="H18" s="10"/>
      <c r="I18" s="20"/>
      <c r="J18" s="141"/>
      <c r="K18" s="24"/>
    </row>
    <row r="19" spans="1:11" x14ac:dyDescent="0.3">
      <c r="A19" s="5" t="s">
        <v>11</v>
      </c>
      <c r="B19" s="6"/>
      <c r="C19" s="7">
        <f t="shared" ref="C19:H19" si="2">SUM(C13:C18)</f>
        <v>6</v>
      </c>
      <c r="D19" s="159">
        <f t="shared" si="2"/>
        <v>39</v>
      </c>
      <c r="E19" s="32">
        <f t="shared" si="2"/>
        <v>279</v>
      </c>
      <c r="F19" s="32">
        <f t="shared" si="2"/>
        <v>11160</v>
      </c>
      <c r="G19" s="150">
        <f>SUM(G13:G18)</f>
        <v>4430.5200000000004</v>
      </c>
      <c r="H19" s="32">
        <f t="shared" si="2"/>
        <v>10</v>
      </c>
      <c r="I19" s="156">
        <f>SUM(I13:I18)</f>
        <v>4500</v>
      </c>
      <c r="J19" s="156"/>
      <c r="K19" s="25"/>
    </row>
    <row r="20" spans="1:11" x14ac:dyDescent="0.3">
      <c r="E20" s="4">
        <f>E19/F1</f>
        <v>0.91475409836065569</v>
      </c>
      <c r="I20" s="77"/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4430.5200000000004</v>
      </c>
      <c r="H23" s="27">
        <f>SUMIF($B$13:$B$18,$F$23,H13:H18)</f>
        <v>10</v>
      </c>
      <c r="I23" s="27">
        <f>SUMIF($B$13:$B$18,$F$23,I13:I18)</f>
        <v>4500</v>
      </c>
      <c r="J23" s="27"/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" si="3">SUMIF($B$13:$B$18,$F$24,H13:H18)</f>
        <v>0</v>
      </c>
      <c r="I24" s="27">
        <f ca="1">SUMIF($B$13:$B$18,$F$24,I14:I18)</f>
        <v>0</v>
      </c>
      <c r="J24" s="27"/>
    </row>
    <row r="25" spans="1:11" x14ac:dyDescent="0.3">
      <c r="F25" s="8" t="s">
        <v>34</v>
      </c>
      <c r="G25" s="7">
        <f>SUM(G23:G24)</f>
        <v>4430.5200000000004</v>
      </c>
      <c r="H25" s="7">
        <f t="shared" ref="H25:I25" si="4">SUM(H23:H24)</f>
        <v>10</v>
      </c>
      <c r="I25" s="7">
        <f t="shared" ca="1" si="4"/>
        <v>4500</v>
      </c>
      <c r="J25" s="7"/>
    </row>
  </sheetData>
  <mergeCells count="1">
    <mergeCell ref="E11:G11"/>
  </mergeCells>
  <phoneticPr fontId="15" type="noConversion"/>
  <pageMargins left="0.7" right="0.7" top="0.75" bottom="0.75" header="0.3" footer="0.3"/>
  <pageSetup scale="6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98F8-2F68-4E10-96DC-00C46C4D9EB0}">
  <sheetPr>
    <pageSetUpPr fitToPage="1"/>
  </sheetPr>
  <dimension ref="A1:K25"/>
  <sheetViews>
    <sheetView showGridLines="0" zoomScaleNormal="100" workbookViewId="0">
      <selection activeCell="B29" sqref="B29"/>
    </sheetView>
  </sheetViews>
  <sheetFormatPr defaultRowHeight="14.4" x14ac:dyDescent="0.3"/>
  <cols>
    <col min="1" max="1" width="29" customWidth="1"/>
    <col min="7" max="7" width="11.6640625" customWidth="1"/>
    <col min="8" max="8" width="9.6640625" customWidth="1"/>
    <col min="9" max="10" width="10.6640625" customWidth="1"/>
    <col min="11" max="11" width="32.5546875" customWidth="1"/>
  </cols>
  <sheetData>
    <row r="1" spans="1:11" x14ac:dyDescent="0.3">
      <c r="A1" s="28" t="s">
        <v>3</v>
      </c>
      <c r="B1" s="28">
        <f>C19+(D19/B2)</f>
        <v>7.7625000000000002</v>
      </c>
      <c r="C1" s="69">
        <v>8</v>
      </c>
      <c r="E1" s="5" t="s">
        <v>26</v>
      </c>
      <c r="F1" s="6">
        <v>346</v>
      </c>
      <c r="G1" s="6" t="s">
        <v>18</v>
      </c>
      <c r="I1" s="69" t="s">
        <v>98</v>
      </c>
    </row>
    <row r="2" spans="1:11" x14ac:dyDescent="0.3">
      <c r="A2" s="6" t="s">
        <v>6</v>
      </c>
      <c r="B2" s="6">
        <v>40</v>
      </c>
      <c r="E2" s="5" t="s">
        <v>16</v>
      </c>
      <c r="F2" s="73">
        <f>F1-B3</f>
        <v>35.5</v>
      </c>
      <c r="G2" s="6" t="s">
        <v>18</v>
      </c>
    </row>
    <row r="3" spans="1:11" x14ac:dyDescent="0.3">
      <c r="A3" s="28" t="s">
        <v>0</v>
      </c>
      <c r="B3" s="70">
        <f>B1*B2</f>
        <v>310.5</v>
      </c>
      <c r="C3" s="69">
        <v>310</v>
      </c>
    </row>
    <row r="4" spans="1:11" x14ac:dyDescent="0.3">
      <c r="A4" s="6" t="s">
        <v>8</v>
      </c>
      <c r="B4" s="6">
        <v>4</v>
      </c>
    </row>
    <row r="5" spans="1:11" x14ac:dyDescent="0.3">
      <c r="A5" s="28" t="s">
        <v>1</v>
      </c>
      <c r="B5" s="29">
        <f>B3*B4</f>
        <v>1242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12420</v>
      </c>
      <c r="E7">
        <f>280+30</f>
        <v>310</v>
      </c>
    </row>
    <row r="8" spans="1:11" x14ac:dyDescent="0.3">
      <c r="A8" s="6" t="s">
        <v>7</v>
      </c>
      <c r="B8" s="6">
        <v>0.39700000000000002</v>
      </c>
    </row>
    <row r="9" spans="1:11" x14ac:dyDescent="0.3">
      <c r="A9" s="28" t="s">
        <v>4</v>
      </c>
      <c r="B9" s="70">
        <f>B7*B8</f>
        <v>4930.7400000000007</v>
      </c>
    </row>
    <row r="11" spans="1:11" x14ac:dyDescent="0.3">
      <c r="A11" s="1">
        <v>45680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128</v>
      </c>
      <c r="B13" s="6" t="s">
        <v>25</v>
      </c>
      <c r="C13" s="9">
        <v>7</v>
      </c>
      <c r="D13" s="71">
        <v>30.5</v>
      </c>
      <c r="E13" s="72">
        <f>(C13*$B$2)+D13</f>
        <v>310.5</v>
      </c>
      <c r="F13" s="31">
        <f t="shared" ref="F13:F18" si="0">E13*$B$4*$B$6</f>
        <v>12420</v>
      </c>
      <c r="G13" s="72">
        <f>F13*$B$8</f>
        <v>4930.7400000000007</v>
      </c>
      <c r="H13" s="10">
        <v>25</v>
      </c>
      <c r="I13" s="20">
        <v>5040</v>
      </c>
      <c r="J13" s="141">
        <f>I13-G13-H13</f>
        <v>84.259999999999309</v>
      </c>
      <c r="K13" s="24" t="s">
        <v>19</v>
      </c>
    </row>
    <row r="14" spans="1:11" x14ac:dyDescent="0.3">
      <c r="B14" s="6"/>
      <c r="C14" s="9"/>
      <c r="D14" s="16"/>
      <c r="E14" s="31">
        <f t="shared" ref="E14:E18" si="1">(C14*$B$2)+D14</f>
        <v>0</v>
      </c>
      <c r="F14" s="31">
        <f t="shared" si="0"/>
        <v>0</v>
      </c>
      <c r="G14" s="72">
        <f t="shared" ref="G14:G18" si="2">F14*$B$8</f>
        <v>0</v>
      </c>
      <c r="H14" s="10"/>
      <c r="I14" s="20"/>
      <c r="J14" s="33">
        <f>I14-G14-H14</f>
        <v>0</v>
      </c>
      <c r="K14" s="24"/>
    </row>
    <row r="15" spans="1:11" x14ac:dyDescent="0.3">
      <c r="A15" s="6"/>
      <c r="B15" s="6"/>
      <c r="C15" s="9"/>
      <c r="D15" s="16"/>
      <c r="E15" s="31">
        <f t="shared" si="1"/>
        <v>0</v>
      </c>
      <c r="F15" s="31">
        <f t="shared" si="0"/>
        <v>0</v>
      </c>
      <c r="G15" s="62">
        <f t="shared" si="2"/>
        <v>0</v>
      </c>
      <c r="H15" s="10"/>
      <c r="I15" s="77"/>
      <c r="J15" s="33">
        <f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1"/>
        <v>0</v>
      </c>
      <c r="F16" s="31">
        <f t="shared" si="0"/>
        <v>0</v>
      </c>
      <c r="G16" s="62">
        <f t="shared" si="2"/>
        <v>0</v>
      </c>
      <c r="H16" s="10"/>
      <c r="I16" s="21"/>
      <c r="J16" s="33">
        <f t="shared" ref="J16:J17" si="3">I16-G16-H16</f>
        <v>0</v>
      </c>
      <c r="K16" s="24"/>
    </row>
    <row r="17" spans="1:11" x14ac:dyDescent="0.3">
      <c r="A17" s="6"/>
      <c r="B17" s="6"/>
      <c r="C17" s="9"/>
      <c r="D17" s="16"/>
      <c r="E17" s="31">
        <f t="shared" si="1"/>
        <v>0</v>
      </c>
      <c r="F17" s="31">
        <f t="shared" si="0"/>
        <v>0</v>
      </c>
      <c r="G17" s="62">
        <f t="shared" si="2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1"/>
        <v>0</v>
      </c>
      <c r="F18" s="31">
        <f t="shared" si="0"/>
        <v>0</v>
      </c>
      <c r="G18" s="62">
        <f t="shared" si="2"/>
        <v>0</v>
      </c>
      <c r="H18" s="10"/>
      <c r="I18" s="21"/>
      <c r="J18" s="33"/>
      <c r="K18" s="24"/>
    </row>
    <row r="19" spans="1:11" x14ac:dyDescent="0.3">
      <c r="A19" s="5" t="s">
        <v>11</v>
      </c>
      <c r="B19" s="6"/>
      <c r="C19" s="7">
        <f t="shared" ref="C19:I19" si="4">SUM(C13:C18)</f>
        <v>7</v>
      </c>
      <c r="D19" s="159">
        <f t="shared" si="4"/>
        <v>30.5</v>
      </c>
      <c r="E19" s="140">
        <f t="shared" si="4"/>
        <v>310.5</v>
      </c>
      <c r="F19" s="32">
        <f t="shared" si="4"/>
        <v>12420</v>
      </c>
      <c r="G19" s="32">
        <f t="shared" si="4"/>
        <v>4930.7400000000007</v>
      </c>
      <c r="H19" s="32">
        <f t="shared" si="4"/>
        <v>25</v>
      </c>
      <c r="I19" s="32">
        <f t="shared" si="4"/>
        <v>5040</v>
      </c>
      <c r="J19" s="34"/>
      <c r="K19" s="25"/>
    </row>
    <row r="20" spans="1:11" x14ac:dyDescent="0.3">
      <c r="E20" s="4">
        <f>E19/F1</f>
        <v>0.89739884393063585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4930.7400000000007</v>
      </c>
      <c r="H23" s="27">
        <f>SUMIF($B$13:$B$18,$F$23,H13:H18)</f>
        <v>25</v>
      </c>
      <c r="I23" s="27">
        <f>SUMIF($B$13:$B$18,$F$23,I13:I18)</f>
        <v>5040</v>
      </c>
      <c r="J23" s="27">
        <f>SUMIF($B$13:$B$18,$F$23,J13:J18)</f>
        <v>84.259999999999309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" si="5">SUMIF($B$13:$B$18,$F$24,H13:H18)</f>
        <v>0</v>
      </c>
      <c r="I24" s="27">
        <f>SUMIF($B$13:$B$18,$F$24,I13:I18)</f>
        <v>0</v>
      </c>
      <c r="J24" s="27">
        <f>SUMIF($B$13:$B$18,$F$24,J13:J18)</f>
        <v>0</v>
      </c>
    </row>
    <row r="25" spans="1:11" x14ac:dyDescent="0.3">
      <c r="F25" s="8" t="s">
        <v>34</v>
      </c>
      <c r="G25" s="7">
        <f>SUM(G23:G24)</f>
        <v>4930.7400000000007</v>
      </c>
      <c r="H25" s="7">
        <f t="shared" ref="H25:I25" si="6">SUM(H23:H24)</f>
        <v>25</v>
      </c>
      <c r="I25" s="7">
        <f t="shared" si="6"/>
        <v>5040</v>
      </c>
      <c r="J25" s="7">
        <f>SUM(J23:J24)</f>
        <v>84.259999999999309</v>
      </c>
    </row>
  </sheetData>
  <mergeCells count="1">
    <mergeCell ref="E11:G11"/>
  </mergeCells>
  <pageMargins left="0.7" right="0.7" top="0.75" bottom="0.75" header="0.3" footer="0.3"/>
  <pageSetup scale="81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3E6A6-2BED-474B-B008-FC57366187F7}">
  <sheetPr>
    <pageSetUpPr fitToPage="1"/>
  </sheetPr>
  <dimension ref="A1:K25"/>
  <sheetViews>
    <sheetView showGridLines="0" topLeftCell="BZI1" zoomScaleNormal="100" workbookViewId="0">
      <selection sqref="A1:K25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4.59375</v>
      </c>
      <c r="E1" s="5" t="s">
        <v>26</v>
      </c>
      <c r="F1" s="6">
        <v>147</v>
      </c>
      <c r="G1" s="6" t="s">
        <v>18</v>
      </c>
      <c r="I1" s="69" t="s">
        <v>41</v>
      </c>
      <c r="J1" s="12" t="s">
        <v>42</v>
      </c>
    </row>
    <row r="2" spans="1:11" x14ac:dyDescent="0.3">
      <c r="A2" s="6" t="s">
        <v>6</v>
      </c>
      <c r="B2" s="6">
        <v>32</v>
      </c>
      <c r="E2" s="5" t="s">
        <v>16</v>
      </c>
      <c r="F2" s="35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147</v>
      </c>
    </row>
    <row r="4" spans="1:11" x14ac:dyDescent="0.3">
      <c r="A4" s="6" t="s">
        <v>8</v>
      </c>
      <c r="B4" s="6">
        <v>4</v>
      </c>
    </row>
    <row r="5" spans="1:11" x14ac:dyDescent="0.3">
      <c r="A5" s="28" t="s">
        <v>1</v>
      </c>
      <c r="B5" s="29">
        <f>B3*B4</f>
        <v>588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5880</v>
      </c>
    </row>
    <row r="8" spans="1:11" x14ac:dyDescent="0.3">
      <c r="A8" s="6" t="s">
        <v>7</v>
      </c>
      <c r="B8" s="6">
        <v>0.39700000000000002</v>
      </c>
      <c r="G8" s="44"/>
    </row>
    <row r="9" spans="1:11" x14ac:dyDescent="0.3">
      <c r="A9" s="28" t="s">
        <v>4</v>
      </c>
      <c r="B9" s="29">
        <f>B7*B8</f>
        <v>2334.36</v>
      </c>
    </row>
    <row r="11" spans="1:11" x14ac:dyDescent="0.3">
      <c r="A11" s="1">
        <v>45163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44</v>
      </c>
      <c r="B13" s="6" t="s">
        <v>25</v>
      </c>
      <c r="C13" s="9">
        <v>4</v>
      </c>
      <c r="D13" s="16">
        <v>19</v>
      </c>
      <c r="E13" s="31">
        <f t="shared" ref="E13:E18" si="0">(C13*$B$2)+D13</f>
        <v>147</v>
      </c>
      <c r="F13" s="31">
        <f>E13*$B$4*$B$6</f>
        <v>5880</v>
      </c>
      <c r="G13" s="31">
        <f>F13*$B$8</f>
        <v>2334.36</v>
      </c>
      <c r="H13" s="10"/>
      <c r="I13" s="20">
        <v>2542.7199999999998</v>
      </c>
      <c r="J13" s="33">
        <f>I13-G13-H13</f>
        <v>208.35999999999967</v>
      </c>
      <c r="K13" s="24"/>
    </row>
    <row r="14" spans="1:11" x14ac:dyDescent="0.3">
      <c r="A14" s="6"/>
      <c r="B14" s="6"/>
      <c r="C14" s="9"/>
      <c r="D14" s="16"/>
      <c r="E14" s="31">
        <f t="shared" si="0"/>
        <v>0</v>
      </c>
      <c r="F14" s="31">
        <f t="shared" ref="F14:F18" si="1">E14*$B$4*$B$6</f>
        <v>0</v>
      </c>
      <c r="G14" s="31">
        <f t="shared" ref="G14:G18" si="2">F14*$B$8</f>
        <v>0</v>
      </c>
      <c r="H14" s="10"/>
      <c r="I14" s="21"/>
      <c r="J14" s="33">
        <f>I14-G14-H14</f>
        <v>0</v>
      </c>
      <c r="K14" s="24"/>
    </row>
    <row r="15" spans="1:11" x14ac:dyDescent="0.3">
      <c r="A15" s="6"/>
      <c r="B15" s="6"/>
      <c r="C15" s="9"/>
      <c r="D15" s="16"/>
      <c r="E15" s="31">
        <f t="shared" si="0"/>
        <v>0</v>
      </c>
      <c r="F15" s="31">
        <f t="shared" si="1"/>
        <v>0</v>
      </c>
      <c r="G15" s="31">
        <f t="shared" si="2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4</v>
      </c>
      <c r="D19" s="17">
        <f>SUM(D13:D18)</f>
        <v>19</v>
      </c>
      <c r="E19" s="32">
        <f>SUM(E13:E18)</f>
        <v>147</v>
      </c>
      <c r="F19" s="32">
        <f>SUM(F13:F18)</f>
        <v>5880</v>
      </c>
      <c r="G19" s="32">
        <f>SUM(G13:G18)</f>
        <v>2334.36</v>
      </c>
      <c r="H19" s="11"/>
      <c r="I19" s="22"/>
      <c r="J19" s="34"/>
      <c r="K19" s="25"/>
    </row>
    <row r="20" spans="1:11" x14ac:dyDescent="0.3">
      <c r="D20" s="44"/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2334.36</v>
      </c>
      <c r="H23" s="27">
        <f t="shared" ref="H23:J23" si="4">SUMIF($B$13:$B$18,$F$23,H13:H18)</f>
        <v>0</v>
      </c>
      <c r="I23" s="27">
        <f t="shared" si="4"/>
        <v>2542.7199999999998</v>
      </c>
      <c r="J23" s="27">
        <f t="shared" si="4"/>
        <v>208.35999999999967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2334.36</v>
      </c>
      <c r="H25" s="7">
        <f t="shared" ref="H25:J25" si="6">SUM(H23:H24)</f>
        <v>0</v>
      </c>
      <c r="I25" s="7">
        <f t="shared" si="6"/>
        <v>2542.7199999999998</v>
      </c>
      <c r="J25" s="7">
        <f t="shared" si="6"/>
        <v>208.35999999999967</v>
      </c>
    </row>
  </sheetData>
  <mergeCells count="1">
    <mergeCell ref="E11:G11"/>
  </mergeCells>
  <pageMargins left="0.7" right="0.7" top="0.75" bottom="0.75" header="0.3" footer="0.3"/>
  <pageSetup scale="7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38F4-2924-45D6-A42C-CACB3EF33560}">
  <sheetPr>
    <pageSetUpPr fitToPage="1"/>
  </sheetPr>
  <dimension ref="A1:K25"/>
  <sheetViews>
    <sheetView showGridLines="0" topLeftCell="XJ1" zoomScaleNormal="100" workbookViewId="0">
      <selection activeCell="G4" sqref="G4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9.75</v>
      </c>
      <c r="C1" s="69">
        <v>10</v>
      </c>
      <c r="E1" s="5" t="s">
        <v>26</v>
      </c>
      <c r="F1" s="6">
        <v>429</v>
      </c>
      <c r="G1" s="6" t="s">
        <v>18</v>
      </c>
      <c r="I1" s="69" t="s">
        <v>95</v>
      </c>
      <c r="J1" s="12" t="s">
        <v>42</v>
      </c>
    </row>
    <row r="2" spans="1:11" x14ac:dyDescent="0.3">
      <c r="A2" s="6" t="s">
        <v>6</v>
      </c>
      <c r="B2" s="6">
        <v>40</v>
      </c>
      <c r="E2" s="5" t="s">
        <v>16</v>
      </c>
      <c r="F2" s="35">
        <f>F1-B3</f>
        <v>39</v>
      </c>
      <c r="G2" s="6" t="s">
        <v>18</v>
      </c>
    </row>
    <row r="3" spans="1:11" x14ac:dyDescent="0.3">
      <c r="A3" s="28" t="s">
        <v>0</v>
      </c>
      <c r="B3" s="29">
        <f>B1*B2</f>
        <v>390</v>
      </c>
      <c r="C3" s="69">
        <v>390</v>
      </c>
    </row>
    <row r="4" spans="1:11" x14ac:dyDescent="0.3">
      <c r="A4" s="6" t="s">
        <v>8</v>
      </c>
      <c r="B4" s="6">
        <v>4</v>
      </c>
    </row>
    <row r="5" spans="1:11" x14ac:dyDescent="0.3">
      <c r="A5" s="28" t="s">
        <v>1</v>
      </c>
      <c r="B5" s="29">
        <f>B3*B4</f>
        <v>1560</v>
      </c>
      <c r="C5" s="69">
        <v>1562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15600</v>
      </c>
      <c r="C7" s="130">
        <f>+F19</f>
        <v>15620</v>
      </c>
    </row>
    <row r="8" spans="1:11" x14ac:dyDescent="0.3">
      <c r="A8" s="6" t="s">
        <v>7</v>
      </c>
      <c r="B8" s="6">
        <v>0.39700000000000002</v>
      </c>
      <c r="G8" s="44"/>
    </row>
    <row r="9" spans="1:11" x14ac:dyDescent="0.3">
      <c r="A9" s="28" t="s">
        <v>4</v>
      </c>
      <c r="B9" s="29">
        <f>B7*B8</f>
        <v>6193.2000000000007</v>
      </c>
      <c r="C9" s="130">
        <f>+G19</f>
        <v>6201.14</v>
      </c>
    </row>
    <row r="11" spans="1:11" x14ac:dyDescent="0.3">
      <c r="A11" s="1">
        <v>45393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96</v>
      </c>
      <c r="B13" s="6" t="s">
        <v>25</v>
      </c>
      <c r="C13" s="9">
        <v>9</v>
      </c>
      <c r="D13" s="16">
        <v>30</v>
      </c>
      <c r="E13" s="31">
        <f t="shared" ref="E13:E18" si="0">(C13*$B$2)+D13</f>
        <v>390</v>
      </c>
      <c r="F13" s="31">
        <f>E13*$B$4*$B$6</f>
        <v>15600</v>
      </c>
      <c r="G13" s="31">
        <f>F13*$B$8</f>
        <v>6193.2000000000007</v>
      </c>
      <c r="H13" s="10">
        <v>15</v>
      </c>
      <c r="I13" s="20">
        <v>6300</v>
      </c>
      <c r="J13" s="33">
        <f>I13-G13-H13</f>
        <v>91.799999999999272</v>
      </c>
      <c r="K13" s="24"/>
    </row>
    <row r="14" spans="1:11" x14ac:dyDescent="0.3">
      <c r="A14" s="6"/>
      <c r="B14" s="6"/>
      <c r="C14" s="9"/>
      <c r="D14" s="16"/>
      <c r="E14" s="31">
        <f t="shared" si="0"/>
        <v>0</v>
      </c>
      <c r="F14" s="31">
        <v>20</v>
      </c>
      <c r="G14" s="31">
        <f t="shared" ref="G14:G18" si="1">F14*$B$8</f>
        <v>7.94</v>
      </c>
      <c r="H14" s="10"/>
      <c r="I14" s="21"/>
      <c r="J14" s="33">
        <f>I14-G14-H14</f>
        <v>-7.94</v>
      </c>
      <c r="K14" s="24"/>
    </row>
    <row r="15" spans="1:11" x14ac:dyDescent="0.3">
      <c r="A15" s="6"/>
      <c r="B15" s="6"/>
      <c r="C15" s="9"/>
      <c r="D15" s="16"/>
      <c r="E15" s="31">
        <f t="shared" si="0"/>
        <v>0</v>
      </c>
      <c r="F15" s="31">
        <f t="shared" ref="F15:F18" si="2">E15*$B$4*$B$6</f>
        <v>0</v>
      </c>
      <c r="G15" s="31">
        <f t="shared" si="1"/>
        <v>0</v>
      </c>
      <c r="H15" s="10"/>
      <c r="I15" s="21"/>
      <c r="J15" s="33">
        <f>+J13+J14</f>
        <v>83.859999999999275</v>
      </c>
      <c r="K15" s="137" t="s">
        <v>19</v>
      </c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2"/>
        <v>0</v>
      </c>
      <c r="G16" s="31">
        <f t="shared" si="1"/>
        <v>0</v>
      </c>
      <c r="H16" s="10"/>
      <c r="I16" s="21"/>
      <c r="J16" s="33">
        <f t="shared" ref="J16:J18" si="3">I16-G16-H16</f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2"/>
        <v>0</v>
      </c>
      <c r="G17" s="31">
        <f t="shared" si="1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2"/>
        <v>0</v>
      </c>
      <c r="G18" s="31">
        <f t="shared" si="1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9</v>
      </c>
      <c r="D19" s="17">
        <f>SUM(D13:D18)</f>
        <v>30</v>
      </c>
      <c r="E19" s="32">
        <f>SUM(E13:E18)</f>
        <v>390</v>
      </c>
      <c r="F19" s="32">
        <f>SUM(F13:F18)</f>
        <v>15620</v>
      </c>
      <c r="G19" s="32">
        <f>SUM(G13:G18)</f>
        <v>6201.14</v>
      </c>
      <c r="H19" s="11"/>
      <c r="I19" s="22"/>
      <c r="J19" s="34"/>
      <c r="K19" s="25"/>
    </row>
    <row r="20" spans="1:11" x14ac:dyDescent="0.3">
      <c r="D20" s="44"/>
      <c r="E20" s="4">
        <f>E19/F1</f>
        <v>0.90909090909090906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6193.2000000000007</v>
      </c>
      <c r="H23" s="27">
        <f t="shared" ref="H23:J23" si="4">SUMIF($B$13:$B$18,$F$23,H13:H18)</f>
        <v>15</v>
      </c>
      <c r="I23" s="27">
        <f t="shared" si="4"/>
        <v>6300</v>
      </c>
      <c r="J23" s="27">
        <f t="shared" si="4"/>
        <v>91.799999999999272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6193.2000000000007</v>
      </c>
      <c r="H25" s="7">
        <f t="shared" ref="H25:J25" si="6">SUM(H23:H24)</f>
        <v>15</v>
      </c>
      <c r="I25" s="7">
        <f t="shared" si="6"/>
        <v>6300</v>
      </c>
      <c r="J25" s="7">
        <f t="shared" si="6"/>
        <v>91.799999999999272</v>
      </c>
    </row>
  </sheetData>
  <mergeCells count="1">
    <mergeCell ref="E11:G11"/>
  </mergeCells>
  <pageMargins left="0.7" right="0.7" top="0.75" bottom="0.75" header="0.3" footer="0.3"/>
  <pageSetup scale="7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96B69-706F-45DA-8795-519761EA0CC9}">
  <sheetPr>
    <pageSetUpPr fitToPage="1"/>
  </sheetPr>
  <dimension ref="A1:K24"/>
  <sheetViews>
    <sheetView showGridLines="0" zoomScaleNormal="100" workbookViewId="0">
      <selection sqref="A1:K24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C18+(D18/B2)</f>
        <v>2</v>
      </c>
      <c r="E1" s="5" t="s">
        <v>26</v>
      </c>
      <c r="F1" s="6">
        <v>64</v>
      </c>
      <c r="G1" s="6" t="s">
        <v>18</v>
      </c>
    </row>
    <row r="2" spans="1:11" x14ac:dyDescent="0.3">
      <c r="A2" s="6" t="s">
        <v>6</v>
      </c>
      <c r="B2" s="6">
        <v>32</v>
      </c>
      <c r="E2" s="5" t="s">
        <v>16</v>
      </c>
      <c r="F2" s="35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64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192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1920</v>
      </c>
    </row>
    <row r="8" spans="1:11" x14ac:dyDescent="0.3">
      <c r="A8" s="6" t="s">
        <v>7</v>
      </c>
      <c r="B8" s="6">
        <v>0.41</v>
      </c>
    </row>
    <row r="9" spans="1:11" x14ac:dyDescent="0.3">
      <c r="A9" s="28" t="s">
        <v>4</v>
      </c>
      <c r="B9" s="29">
        <f>B7*B8</f>
        <v>787.19999999999993</v>
      </c>
    </row>
    <row r="11" spans="1:11" x14ac:dyDescent="0.3">
      <c r="A11" s="1">
        <v>45306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39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6" t="s">
        <v>4</v>
      </c>
      <c r="K12" s="18"/>
    </row>
    <row r="13" spans="1:11" x14ac:dyDescent="0.3">
      <c r="A13" s="6" t="s">
        <v>23</v>
      </c>
      <c r="B13" s="6" t="s">
        <v>25</v>
      </c>
      <c r="C13" s="9">
        <v>2</v>
      </c>
      <c r="D13" s="16"/>
      <c r="E13" s="31">
        <f t="shared" ref="E13:E17" si="0">(C13*$B$2)+D13</f>
        <v>64</v>
      </c>
      <c r="F13" s="31">
        <f t="shared" ref="F13:F17" si="1">E13*$B$4*$B$6</f>
        <v>1920</v>
      </c>
      <c r="G13" s="72">
        <f t="shared" ref="G13:G17" si="2">F13*$B$8</f>
        <v>787.19999999999993</v>
      </c>
      <c r="H13" s="10">
        <v>7</v>
      </c>
      <c r="I13" s="92">
        <v>993.2</v>
      </c>
      <c r="J13" s="115">
        <f>I13-G13-H13</f>
        <v>199.00000000000011</v>
      </c>
      <c r="K13" s="40"/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>E14*$B$4*$B$6</f>
        <v>0</v>
      </c>
      <c r="G14" s="31">
        <f>F14*$B$8</f>
        <v>0</v>
      </c>
      <c r="H14" s="10"/>
      <c r="I14" s="20"/>
      <c r="J14" s="37">
        <f>I14-G14-H14</f>
        <v>0</v>
      </c>
      <c r="K14" s="40"/>
    </row>
    <row r="15" spans="1:11" x14ac:dyDescent="0.3">
      <c r="A15" s="6"/>
      <c r="B15" s="6"/>
      <c r="C15" s="9"/>
      <c r="D15" s="16"/>
      <c r="E15" s="31">
        <f t="shared" si="0"/>
        <v>0</v>
      </c>
      <c r="F15" s="31">
        <f t="shared" si="1"/>
        <v>0</v>
      </c>
      <c r="G15" s="31">
        <f t="shared" si="2"/>
        <v>0</v>
      </c>
      <c r="H15" s="10"/>
      <c r="I15" s="21"/>
      <c r="J15" s="37">
        <f t="shared" ref="J15:J17" si="3">I15-G15-H15</f>
        <v>0</v>
      </c>
      <c r="K15" s="40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7">
        <f t="shared" si="3"/>
        <v>0</v>
      </c>
      <c r="K16" s="10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7">
        <f t="shared" si="3"/>
        <v>0</v>
      </c>
      <c r="K17" s="10"/>
    </row>
    <row r="18" spans="1:11" x14ac:dyDescent="0.3">
      <c r="A18" s="5" t="s">
        <v>11</v>
      </c>
      <c r="B18" s="6"/>
      <c r="C18" s="7">
        <f t="shared" ref="C18:I18" si="4">SUM(C13:C17)</f>
        <v>2</v>
      </c>
      <c r="D18" s="17">
        <f t="shared" si="4"/>
        <v>0</v>
      </c>
      <c r="E18" s="32">
        <f t="shared" si="4"/>
        <v>64</v>
      </c>
      <c r="F18" s="32">
        <f t="shared" si="4"/>
        <v>1920</v>
      </c>
      <c r="G18" s="32">
        <f t="shared" si="4"/>
        <v>787.19999999999993</v>
      </c>
      <c r="H18" s="32">
        <f t="shared" si="4"/>
        <v>7</v>
      </c>
      <c r="I18" s="32">
        <f t="shared" si="4"/>
        <v>993.2</v>
      </c>
      <c r="J18" s="38"/>
      <c r="K18" s="11"/>
    </row>
    <row r="19" spans="1:11" x14ac:dyDescent="0.3">
      <c r="E19" s="4">
        <f>E18/F1</f>
        <v>1</v>
      </c>
    </row>
    <row r="20" spans="1:11" x14ac:dyDescent="0.3">
      <c r="E20" s="4"/>
    </row>
    <row r="21" spans="1:11" x14ac:dyDescent="0.3">
      <c r="E21" s="4"/>
      <c r="F21" s="51" t="s">
        <v>12</v>
      </c>
      <c r="G21" s="51" t="s">
        <v>4</v>
      </c>
      <c r="H21" s="51" t="s">
        <v>14</v>
      </c>
      <c r="I21" s="51" t="s">
        <v>13</v>
      </c>
      <c r="J21" s="51" t="s">
        <v>15</v>
      </c>
    </row>
    <row r="22" spans="1:11" x14ac:dyDescent="0.3">
      <c r="F22" s="26" t="s">
        <v>25</v>
      </c>
      <c r="G22" s="27">
        <f>SUMIF($B$13:$B$18,$F$23,G12:G17)</f>
        <v>0</v>
      </c>
      <c r="H22" s="27">
        <f t="shared" ref="H22:J22" si="5">SUMIF($B$13:$B$18,$F$23,H12:H17)</f>
        <v>0</v>
      </c>
      <c r="I22" s="27">
        <f t="shared" si="5"/>
        <v>0</v>
      </c>
      <c r="J22" s="27">
        <f t="shared" si="5"/>
        <v>0</v>
      </c>
    </row>
    <row r="23" spans="1:11" x14ac:dyDescent="0.3">
      <c r="F23" s="14" t="s">
        <v>27</v>
      </c>
      <c r="G23" s="27">
        <f>SUMIF($B$13:$B$18,$F$24,G12:G17)</f>
        <v>0</v>
      </c>
      <c r="H23" s="27">
        <f t="shared" ref="H23:J23" si="6">SUMIF($B$13:$B$18,$F$24,H12:H17)</f>
        <v>0</v>
      </c>
      <c r="I23" s="27">
        <f t="shared" si="6"/>
        <v>0</v>
      </c>
      <c r="J23" s="27">
        <f t="shared" si="6"/>
        <v>0</v>
      </c>
    </row>
    <row r="24" spans="1:11" x14ac:dyDescent="0.3">
      <c r="F24" s="8" t="s">
        <v>34</v>
      </c>
      <c r="G24" s="7">
        <f>SUM(G22:G23)</f>
        <v>0</v>
      </c>
      <c r="H24" s="7">
        <f t="shared" ref="H24:J24" si="7">SUM(H22:H23)</f>
        <v>0</v>
      </c>
      <c r="I24" s="7">
        <f t="shared" si="7"/>
        <v>0</v>
      </c>
      <c r="J24" s="7">
        <f t="shared" si="7"/>
        <v>0</v>
      </c>
    </row>
  </sheetData>
  <mergeCells count="1">
    <mergeCell ref="E11:G11"/>
  </mergeCells>
  <pageMargins left="0.7" right="0.7" top="0.75" bottom="0.75" header="0.3" footer="0.3"/>
  <pageSetup scale="78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2DFCF-0213-4BB1-943D-BFCF7021A668}">
  <sheetPr>
    <pageSetUpPr fitToPage="1"/>
  </sheetPr>
  <dimension ref="A1:K24"/>
  <sheetViews>
    <sheetView showGridLines="0" zoomScaleNormal="100" workbookViewId="0">
      <selection activeCell="G23" sqref="G23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v>1</v>
      </c>
      <c r="E1" s="5" t="s">
        <v>26</v>
      </c>
      <c r="F1" s="6">
        <v>10</v>
      </c>
      <c r="G1" s="6" t="s">
        <v>68</v>
      </c>
    </row>
    <row r="2" spans="1:11" x14ac:dyDescent="0.3">
      <c r="A2" s="96" t="s">
        <v>6</v>
      </c>
      <c r="B2" s="96">
        <v>0</v>
      </c>
      <c r="E2" s="5" t="s">
        <v>16</v>
      </c>
      <c r="F2" s="35">
        <f>F1-B3</f>
        <v>10</v>
      </c>
      <c r="G2" s="6" t="s">
        <v>68</v>
      </c>
    </row>
    <row r="3" spans="1:11" x14ac:dyDescent="0.3">
      <c r="A3" s="93" t="s">
        <v>0</v>
      </c>
      <c r="B3" s="76">
        <v>0</v>
      </c>
    </row>
    <row r="4" spans="1:11" x14ac:dyDescent="0.3">
      <c r="A4" s="96" t="s">
        <v>68</v>
      </c>
      <c r="B4" s="96">
        <v>1</v>
      </c>
    </row>
    <row r="5" spans="1:11" x14ac:dyDescent="0.3">
      <c r="A5" s="93" t="s">
        <v>1</v>
      </c>
      <c r="B5" s="76">
        <f>B3*B4</f>
        <v>0</v>
      </c>
    </row>
    <row r="6" spans="1:11" x14ac:dyDescent="0.3">
      <c r="A6" s="6" t="s">
        <v>68</v>
      </c>
      <c r="B6" s="27">
        <f>+B7</f>
        <v>10</v>
      </c>
    </row>
    <row r="7" spans="1:11" x14ac:dyDescent="0.3">
      <c r="A7" s="28" t="s">
        <v>68</v>
      </c>
      <c r="B7" s="29">
        <f>D13</f>
        <v>10</v>
      </c>
    </row>
    <row r="8" spans="1:11" x14ac:dyDescent="0.3">
      <c r="A8" s="6" t="s">
        <v>7</v>
      </c>
      <c r="B8" s="6">
        <v>17</v>
      </c>
    </row>
    <row r="9" spans="1:11" x14ac:dyDescent="0.3">
      <c r="A9" s="28" t="s">
        <v>4</v>
      </c>
      <c r="B9" s="29">
        <f>B7*B8</f>
        <v>170</v>
      </c>
    </row>
    <row r="11" spans="1:11" x14ac:dyDescent="0.3">
      <c r="A11" s="1">
        <v>45306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39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68</v>
      </c>
      <c r="E12" s="30" t="s">
        <v>11</v>
      </c>
      <c r="F12" s="30" t="s">
        <v>68</v>
      </c>
      <c r="G12" s="30" t="s">
        <v>4</v>
      </c>
      <c r="H12" s="18" t="s">
        <v>4</v>
      </c>
      <c r="I12" s="19" t="s">
        <v>4</v>
      </c>
      <c r="J12" s="36" t="s">
        <v>4</v>
      </c>
      <c r="K12" s="18"/>
    </row>
    <row r="13" spans="1:11" x14ac:dyDescent="0.3">
      <c r="A13" s="6" t="s">
        <v>23</v>
      </c>
      <c r="B13" s="6" t="s">
        <v>25</v>
      </c>
      <c r="C13" s="9"/>
      <c r="D13" s="16">
        <v>10</v>
      </c>
      <c r="E13" s="31">
        <f>(C13*$B$2)+D13</f>
        <v>10</v>
      </c>
      <c r="F13" s="31">
        <f>+B6</f>
        <v>10</v>
      </c>
      <c r="G13" s="31">
        <f>F13*$B$8</f>
        <v>170</v>
      </c>
      <c r="H13" s="10"/>
      <c r="I13" s="21">
        <v>199</v>
      </c>
      <c r="J13" s="37">
        <f>I13-G13-H13</f>
        <v>29</v>
      </c>
      <c r="K13" s="40" t="s">
        <v>35</v>
      </c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>E14*$B$4*$B$6</f>
        <v>0</v>
      </c>
      <c r="G14" s="31">
        <f>F14*$B$8</f>
        <v>0</v>
      </c>
      <c r="H14" s="10"/>
      <c r="I14" s="20"/>
      <c r="J14" s="37">
        <f>I14-G14-H14</f>
        <v>0</v>
      </c>
      <c r="K14" s="40"/>
    </row>
    <row r="15" spans="1:11" x14ac:dyDescent="0.3">
      <c r="A15" s="6"/>
      <c r="B15" s="6"/>
      <c r="C15" s="9"/>
      <c r="D15" s="16"/>
      <c r="E15" s="31">
        <f t="shared" ref="E15:E17" si="0">(C15*$B$2)+D15</f>
        <v>0</v>
      </c>
      <c r="F15" s="31">
        <f t="shared" ref="F15:F17" si="1">E15*$B$4*$B$6</f>
        <v>0</v>
      </c>
      <c r="G15" s="31">
        <f t="shared" ref="G15:G17" si="2">F15*$B$8</f>
        <v>0</v>
      </c>
      <c r="H15" s="10"/>
      <c r="I15" s="21"/>
      <c r="J15" s="37">
        <f t="shared" ref="J15:J17" si="3">I15-G15-H15</f>
        <v>0</v>
      </c>
      <c r="K15" s="40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7">
        <f t="shared" si="3"/>
        <v>0</v>
      </c>
      <c r="K16" s="10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7">
        <f t="shared" si="3"/>
        <v>0</v>
      </c>
      <c r="K17" s="10"/>
    </row>
    <row r="18" spans="1:11" x14ac:dyDescent="0.3">
      <c r="A18" s="5" t="s">
        <v>11</v>
      </c>
      <c r="B18" s="6"/>
      <c r="C18" s="7">
        <f t="shared" ref="C18:I18" si="4">SUM(C13:C17)</f>
        <v>0</v>
      </c>
      <c r="D18" s="17">
        <f t="shared" si="4"/>
        <v>10</v>
      </c>
      <c r="E18" s="32">
        <f t="shared" si="4"/>
        <v>10</v>
      </c>
      <c r="F18" s="32">
        <f t="shared" si="4"/>
        <v>10</v>
      </c>
      <c r="G18" s="32">
        <f t="shared" si="4"/>
        <v>170</v>
      </c>
      <c r="H18" s="32">
        <f t="shared" si="4"/>
        <v>0</v>
      </c>
      <c r="I18" s="32">
        <f t="shared" si="4"/>
        <v>199</v>
      </c>
      <c r="J18" s="38"/>
      <c r="K18" s="11"/>
    </row>
    <row r="19" spans="1:11" x14ac:dyDescent="0.3">
      <c r="E19" s="4">
        <f>E18/F1</f>
        <v>1</v>
      </c>
    </row>
    <row r="20" spans="1:11" x14ac:dyDescent="0.3">
      <c r="E20" s="4"/>
    </row>
    <row r="21" spans="1:11" x14ac:dyDescent="0.3">
      <c r="E21" s="4"/>
      <c r="F21" s="51" t="s">
        <v>12</v>
      </c>
      <c r="G21" s="51" t="s">
        <v>4</v>
      </c>
      <c r="H21" s="51" t="s">
        <v>14</v>
      </c>
      <c r="I21" s="51" t="s">
        <v>13</v>
      </c>
      <c r="J21" s="51" t="s">
        <v>15</v>
      </c>
    </row>
    <row r="22" spans="1:11" x14ac:dyDescent="0.3">
      <c r="F22" s="26" t="s">
        <v>25</v>
      </c>
      <c r="G22" s="27">
        <f>SUMIF($B$13:$B$18,$F$22,G13:G18)</f>
        <v>170</v>
      </c>
      <c r="H22" s="27">
        <f>SUMIF($B$13:$B$18,$F$22,H13:H18)</f>
        <v>0</v>
      </c>
      <c r="I22" s="27">
        <f>SUMIF($B$13:$B$18,$F$22,I13:I18)</f>
        <v>199</v>
      </c>
      <c r="J22" s="27">
        <f>SUMIF($B$13:$B$18,$F$22,J13:J18)</f>
        <v>29</v>
      </c>
    </row>
    <row r="23" spans="1:11" x14ac:dyDescent="0.3">
      <c r="F23" s="14" t="s">
        <v>27</v>
      </c>
      <c r="G23" s="27">
        <f>SUMIF($B$13:$B$18,$F$24,G12:G17)</f>
        <v>0</v>
      </c>
      <c r="H23" s="27">
        <f t="shared" ref="H23:J23" si="5">SUMIF($B$13:$B$18,$F$24,H12:H17)</f>
        <v>0</v>
      </c>
      <c r="I23" s="27">
        <f t="shared" si="5"/>
        <v>0</v>
      </c>
      <c r="J23" s="27">
        <f t="shared" si="5"/>
        <v>0</v>
      </c>
    </row>
    <row r="24" spans="1:11" x14ac:dyDescent="0.3">
      <c r="F24" s="8" t="s">
        <v>34</v>
      </c>
      <c r="G24" s="7">
        <f>SUM(G22:G23)</f>
        <v>170</v>
      </c>
      <c r="H24" s="7">
        <f t="shared" ref="H24:J24" si="6">SUM(H22:H23)</f>
        <v>0</v>
      </c>
      <c r="I24" s="7">
        <f t="shared" si="6"/>
        <v>199</v>
      </c>
      <c r="J24" s="7">
        <f t="shared" si="6"/>
        <v>29</v>
      </c>
    </row>
  </sheetData>
  <mergeCells count="1">
    <mergeCell ref="E11:G11"/>
  </mergeCells>
  <pageMargins left="0.7" right="0.7" top="0.75" bottom="0.75" header="0.3" footer="0.3"/>
  <pageSetup scale="78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B5089-56B6-4281-8D6C-BF3736A0302C}">
  <sheetPr>
    <pageSetUpPr fitToPage="1"/>
  </sheetPr>
  <dimension ref="A1:K24"/>
  <sheetViews>
    <sheetView showGridLines="0" zoomScaleNormal="100" workbookViewId="0">
      <selection sqref="A1:K24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C18+(D18/B2)</f>
        <v>0.78125</v>
      </c>
      <c r="C1" s="119">
        <v>1</v>
      </c>
      <c r="E1" s="5" t="s">
        <v>26</v>
      </c>
      <c r="F1" s="6">
        <v>25</v>
      </c>
      <c r="G1" s="6" t="s">
        <v>18</v>
      </c>
    </row>
    <row r="2" spans="1:11" x14ac:dyDescent="0.3">
      <c r="A2" s="6" t="s">
        <v>6</v>
      </c>
      <c r="B2" s="6">
        <v>32</v>
      </c>
      <c r="E2" s="5" t="s">
        <v>16</v>
      </c>
      <c r="F2" s="35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25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75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750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300</v>
      </c>
    </row>
    <row r="11" spans="1:11" x14ac:dyDescent="0.3">
      <c r="A11" s="1">
        <v>45352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39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6" t="s">
        <v>4</v>
      </c>
      <c r="K12" s="18"/>
    </row>
    <row r="13" spans="1:11" x14ac:dyDescent="0.3">
      <c r="A13" s="6" t="s">
        <v>75</v>
      </c>
      <c r="B13" s="124" t="s">
        <v>25</v>
      </c>
      <c r="C13" s="9"/>
      <c r="D13" s="16">
        <v>25</v>
      </c>
      <c r="E13" s="31">
        <f>(C13*$B$2)+D13</f>
        <v>25</v>
      </c>
      <c r="F13" s="31">
        <f t="shared" ref="F13:F17" si="0">E13*$B$4*$B$6</f>
        <v>750</v>
      </c>
      <c r="G13" s="31">
        <f t="shared" ref="G13:G17" si="1">F13*$B$8</f>
        <v>300</v>
      </c>
      <c r="H13" s="10">
        <v>10</v>
      </c>
      <c r="I13" s="92">
        <v>3147</v>
      </c>
      <c r="J13" s="115">
        <f>I13-G13-H13</f>
        <v>2837</v>
      </c>
      <c r="K13" s="40" t="s">
        <v>52</v>
      </c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>E14*$B$4*$B$6</f>
        <v>0</v>
      </c>
      <c r="G14" s="31">
        <f>F14*$B$8</f>
        <v>0</v>
      </c>
      <c r="H14" s="10"/>
      <c r="I14" s="20"/>
      <c r="J14" s="37">
        <f>I14-G14-H14</f>
        <v>0</v>
      </c>
      <c r="K14" s="40"/>
    </row>
    <row r="15" spans="1:11" x14ac:dyDescent="0.3">
      <c r="A15" s="6"/>
      <c r="B15" s="6"/>
      <c r="C15" s="9"/>
      <c r="D15" s="16"/>
      <c r="E15" s="31">
        <f t="shared" ref="E15:E17" si="2">(C15*$B$2)+D15</f>
        <v>0</v>
      </c>
      <c r="F15" s="31">
        <f t="shared" si="0"/>
        <v>0</v>
      </c>
      <c r="G15" s="31">
        <f t="shared" si="1"/>
        <v>0</v>
      </c>
      <c r="H15" s="10"/>
      <c r="I15" s="21"/>
      <c r="J15" s="37">
        <f t="shared" ref="J15:J17" si="3">I15-G15-H15</f>
        <v>0</v>
      </c>
      <c r="K15" s="40"/>
    </row>
    <row r="16" spans="1:11" x14ac:dyDescent="0.3">
      <c r="A16" s="6"/>
      <c r="B16" s="6"/>
      <c r="C16" s="9"/>
      <c r="D16" s="16"/>
      <c r="E16" s="31">
        <f t="shared" si="2"/>
        <v>0</v>
      </c>
      <c r="F16" s="31">
        <f t="shared" si="0"/>
        <v>0</v>
      </c>
      <c r="G16" s="31">
        <f t="shared" si="1"/>
        <v>0</v>
      </c>
      <c r="H16" s="10"/>
      <c r="I16" s="21"/>
      <c r="J16" s="37">
        <f t="shared" si="3"/>
        <v>0</v>
      </c>
      <c r="K16" s="10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0"/>
        <v>0</v>
      </c>
      <c r="G17" s="31">
        <f t="shared" si="1"/>
        <v>0</v>
      </c>
      <c r="H17" s="10"/>
      <c r="I17" s="21"/>
      <c r="J17" s="37">
        <f t="shared" si="3"/>
        <v>0</v>
      </c>
      <c r="K17" s="10"/>
    </row>
    <row r="18" spans="1:11" x14ac:dyDescent="0.3">
      <c r="A18" s="5" t="s">
        <v>11</v>
      </c>
      <c r="B18" s="6"/>
      <c r="C18" s="7">
        <f t="shared" ref="C18:I18" si="4">SUM(C13:C17)</f>
        <v>0</v>
      </c>
      <c r="D18" s="17">
        <f t="shared" si="4"/>
        <v>25</v>
      </c>
      <c r="E18" s="32">
        <f t="shared" si="4"/>
        <v>25</v>
      </c>
      <c r="F18" s="32">
        <f t="shared" si="4"/>
        <v>750</v>
      </c>
      <c r="G18" s="32">
        <f t="shared" si="4"/>
        <v>300</v>
      </c>
      <c r="H18" s="32">
        <f t="shared" si="4"/>
        <v>10</v>
      </c>
      <c r="I18" s="32">
        <f t="shared" si="4"/>
        <v>3147</v>
      </c>
      <c r="J18" s="38"/>
      <c r="K18" s="11"/>
    </row>
    <row r="19" spans="1:11" x14ac:dyDescent="0.3">
      <c r="E19" s="4">
        <f>E18/F1</f>
        <v>1</v>
      </c>
    </row>
    <row r="20" spans="1:11" x14ac:dyDescent="0.3">
      <c r="E20" s="4"/>
    </row>
    <row r="21" spans="1:11" x14ac:dyDescent="0.3">
      <c r="E21" s="4"/>
      <c r="F21" s="51" t="s">
        <v>12</v>
      </c>
      <c r="G21" s="51" t="s">
        <v>4</v>
      </c>
      <c r="H21" s="51" t="s">
        <v>14</v>
      </c>
      <c r="I21" s="51" t="s">
        <v>13</v>
      </c>
      <c r="J21" s="51" t="s">
        <v>15</v>
      </c>
    </row>
    <row r="22" spans="1:11" x14ac:dyDescent="0.3">
      <c r="F22" s="26" t="s">
        <v>25</v>
      </c>
      <c r="G22" s="27">
        <f>SUMIF($B$13:$B$17,$F$22,G13:G17)</f>
        <v>300</v>
      </c>
      <c r="H22" s="27">
        <f t="shared" ref="H22:J22" si="5">SUMIF($B$13:$B$18,$F$23,H12:H17)</f>
        <v>0</v>
      </c>
      <c r="I22" s="27">
        <f t="shared" si="5"/>
        <v>0</v>
      </c>
      <c r="J22" s="27">
        <f t="shared" si="5"/>
        <v>0</v>
      </c>
    </row>
    <row r="23" spans="1:11" x14ac:dyDescent="0.3">
      <c r="F23" s="14" t="s">
        <v>27</v>
      </c>
      <c r="G23" s="27">
        <f>SUMIF($B$13:$B$18,$F$24,G13:G18)</f>
        <v>0</v>
      </c>
      <c r="H23" s="27">
        <f t="shared" ref="H23:J23" si="6">SUMIF($B$13:$B$18,$F$24,H12:H17)</f>
        <v>0</v>
      </c>
      <c r="I23" s="27">
        <f t="shared" si="6"/>
        <v>0</v>
      </c>
      <c r="J23" s="27">
        <f t="shared" si="6"/>
        <v>0</v>
      </c>
    </row>
    <row r="24" spans="1:11" x14ac:dyDescent="0.3">
      <c r="F24" s="8" t="s">
        <v>34</v>
      </c>
      <c r="G24" s="7">
        <f>SUM(G22:G23)</f>
        <v>300</v>
      </c>
      <c r="H24" s="7">
        <f t="shared" ref="H24:J24" si="7">SUM(H22:H23)</f>
        <v>0</v>
      </c>
      <c r="I24" s="7">
        <f t="shared" si="7"/>
        <v>0</v>
      </c>
      <c r="J24" s="7">
        <f t="shared" si="7"/>
        <v>0</v>
      </c>
    </row>
  </sheetData>
  <mergeCells count="1">
    <mergeCell ref="E11:G11"/>
  </mergeCells>
  <pageMargins left="0.7" right="0.7" top="0.75" bottom="0.75" header="0.3" footer="0.3"/>
  <pageSetup scale="7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8A53-D070-4AA7-85C3-BC81389D5C67}">
  <sheetPr>
    <pageSetUpPr fitToPage="1"/>
  </sheetPr>
  <dimension ref="A1:K24"/>
  <sheetViews>
    <sheetView showGridLines="0" zoomScaleNormal="100" workbookViewId="0">
      <selection activeCell="I7" sqref="I7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 t="e">
        <f>C18+(D18/B2)</f>
        <v>#DIV/0!</v>
      </c>
      <c r="E1" s="5" t="s">
        <v>26</v>
      </c>
      <c r="F1" s="6">
        <v>50</v>
      </c>
      <c r="G1" s="6" t="s">
        <v>68</v>
      </c>
    </row>
    <row r="2" spans="1:11" x14ac:dyDescent="0.3">
      <c r="A2" s="96" t="s">
        <v>6</v>
      </c>
      <c r="B2" s="96">
        <v>0</v>
      </c>
      <c r="E2" s="5" t="s">
        <v>16</v>
      </c>
      <c r="F2" s="43">
        <f>F1-B6</f>
        <v>0</v>
      </c>
      <c r="G2" s="6" t="s">
        <v>68</v>
      </c>
    </row>
    <row r="3" spans="1:11" x14ac:dyDescent="0.3">
      <c r="A3" s="93" t="s">
        <v>0</v>
      </c>
      <c r="B3" s="76">
        <v>0</v>
      </c>
    </row>
    <row r="4" spans="1:11" x14ac:dyDescent="0.3">
      <c r="A4" s="96" t="s">
        <v>68</v>
      </c>
      <c r="B4" s="96">
        <v>1</v>
      </c>
    </row>
    <row r="5" spans="1:11" x14ac:dyDescent="0.3">
      <c r="A5" s="93" t="s">
        <v>1</v>
      </c>
      <c r="B5" s="76">
        <f>B3*B4</f>
        <v>0</v>
      </c>
    </row>
    <row r="6" spans="1:11" x14ac:dyDescent="0.3">
      <c r="A6" s="6" t="s">
        <v>68</v>
      </c>
      <c r="B6" s="27">
        <f>+B7</f>
        <v>50</v>
      </c>
    </row>
    <row r="7" spans="1:11" x14ac:dyDescent="0.3">
      <c r="A7" s="28" t="s">
        <v>68</v>
      </c>
      <c r="B7" s="29">
        <f>D13</f>
        <v>50</v>
      </c>
    </row>
    <row r="8" spans="1:11" x14ac:dyDescent="0.3">
      <c r="A8" s="6" t="s">
        <v>7</v>
      </c>
      <c r="B8" s="6">
        <v>4</v>
      </c>
    </row>
    <row r="9" spans="1:11" x14ac:dyDescent="0.3">
      <c r="A9" s="28" t="s">
        <v>4</v>
      </c>
      <c r="B9" s="29">
        <v>4</v>
      </c>
    </row>
    <row r="11" spans="1:11" x14ac:dyDescent="0.3">
      <c r="A11" s="1">
        <v>45306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39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68</v>
      </c>
      <c r="E12" s="30" t="s">
        <v>11</v>
      </c>
      <c r="F12" s="30" t="s">
        <v>68</v>
      </c>
      <c r="G12" s="30" t="s">
        <v>4</v>
      </c>
      <c r="H12" s="18" t="s">
        <v>4</v>
      </c>
      <c r="I12" s="19" t="s">
        <v>4</v>
      </c>
      <c r="J12" s="36" t="s">
        <v>4</v>
      </c>
      <c r="K12" s="18"/>
    </row>
    <row r="13" spans="1:11" x14ac:dyDescent="0.3">
      <c r="A13" s="6" t="s">
        <v>21</v>
      </c>
      <c r="B13" s="6" t="s">
        <v>25</v>
      </c>
      <c r="C13" s="9"/>
      <c r="D13" s="16">
        <v>50</v>
      </c>
      <c r="E13" s="31">
        <f>(C13*$B$2)+D13</f>
        <v>50</v>
      </c>
      <c r="F13" s="31">
        <f>+B6</f>
        <v>50</v>
      </c>
      <c r="G13" s="31">
        <f>F13*$B$8</f>
        <v>200</v>
      </c>
      <c r="H13" s="10">
        <v>8</v>
      </c>
      <c r="I13" s="21">
        <v>750.6</v>
      </c>
      <c r="J13" s="37">
        <f>I13-G13-H13</f>
        <v>542.6</v>
      </c>
      <c r="K13" s="40"/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>E14*$B$4*$B$6</f>
        <v>0</v>
      </c>
      <c r="G14" s="31">
        <f>F14*$B$8</f>
        <v>0</v>
      </c>
      <c r="H14" s="10"/>
      <c r="I14" s="20"/>
      <c r="J14" s="37">
        <f>I14-G14-H14</f>
        <v>0</v>
      </c>
      <c r="K14" s="40"/>
    </row>
    <row r="15" spans="1:11" x14ac:dyDescent="0.3">
      <c r="A15" s="6"/>
      <c r="B15" s="6"/>
      <c r="C15" s="9"/>
      <c r="D15" s="16"/>
      <c r="E15" s="31">
        <f t="shared" ref="E15:E17" si="0">(C15*$B$2)+D15</f>
        <v>0</v>
      </c>
      <c r="F15" s="31">
        <f t="shared" ref="F15:F17" si="1">E15*$B$4*$B$6</f>
        <v>0</v>
      </c>
      <c r="G15" s="31">
        <f t="shared" ref="G15:G17" si="2">F15*$B$8</f>
        <v>0</v>
      </c>
      <c r="H15" s="10"/>
      <c r="I15" s="21"/>
      <c r="J15" s="37">
        <f t="shared" ref="J15:J17" si="3">I15-G15-H15</f>
        <v>0</v>
      </c>
      <c r="K15" s="40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7">
        <f t="shared" si="3"/>
        <v>0</v>
      </c>
      <c r="K16" s="10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7">
        <f t="shared" si="3"/>
        <v>0</v>
      </c>
      <c r="K17" s="10"/>
    </row>
    <row r="18" spans="1:11" x14ac:dyDescent="0.3">
      <c r="A18" s="5" t="s">
        <v>11</v>
      </c>
      <c r="B18" s="6"/>
      <c r="C18" s="7">
        <f t="shared" ref="C18:I18" si="4">SUM(C13:C17)</f>
        <v>0</v>
      </c>
      <c r="D18" s="17">
        <f t="shared" si="4"/>
        <v>50</v>
      </c>
      <c r="E18" s="32">
        <f t="shared" si="4"/>
        <v>50</v>
      </c>
      <c r="F18" s="32">
        <f t="shared" si="4"/>
        <v>50</v>
      </c>
      <c r="G18" s="32">
        <f t="shared" si="4"/>
        <v>200</v>
      </c>
      <c r="H18" s="32">
        <f t="shared" si="4"/>
        <v>8</v>
      </c>
      <c r="I18" s="32">
        <f t="shared" si="4"/>
        <v>750.6</v>
      </c>
      <c r="J18" s="38"/>
      <c r="K18" s="11"/>
    </row>
    <row r="19" spans="1:11" x14ac:dyDescent="0.3">
      <c r="E19" s="4">
        <f>E18/F1</f>
        <v>1</v>
      </c>
    </row>
    <row r="20" spans="1:11" x14ac:dyDescent="0.3">
      <c r="E20" s="4"/>
    </row>
    <row r="21" spans="1:11" x14ac:dyDescent="0.3">
      <c r="E21" s="4"/>
      <c r="F21" s="51" t="s">
        <v>12</v>
      </c>
      <c r="G21" s="51" t="s">
        <v>4</v>
      </c>
      <c r="H21" s="51" t="s">
        <v>14</v>
      </c>
      <c r="I21" s="51" t="s">
        <v>13</v>
      </c>
      <c r="J21" s="51" t="s">
        <v>15</v>
      </c>
    </row>
    <row r="22" spans="1:11" x14ac:dyDescent="0.3">
      <c r="F22" s="26" t="s">
        <v>25</v>
      </c>
      <c r="G22" s="27">
        <f>SUMIF($B$13:$B$18,$F$22,G13:G18)</f>
        <v>200</v>
      </c>
      <c r="H22" s="27">
        <f>SUMIF($B$13:$B$18,$F$22,H13:H18)</f>
        <v>8</v>
      </c>
      <c r="I22" s="27">
        <f>SUMIF($B$13:$B$18,$F$22,I13:I18)</f>
        <v>750.6</v>
      </c>
      <c r="J22" s="27">
        <f>SUMIF($B$13:$B$18,$F$22,J13:J18)</f>
        <v>542.6</v>
      </c>
    </row>
    <row r="23" spans="1:11" x14ac:dyDescent="0.3">
      <c r="F23" s="14" t="s">
        <v>27</v>
      </c>
      <c r="G23" s="27">
        <f>SUMIF($B$13:$B$18,$F$24,G12:G17)</f>
        <v>0</v>
      </c>
      <c r="H23" s="27">
        <f t="shared" ref="H23:J23" si="5">SUMIF($B$13:$B$18,$F$24,H12:H17)</f>
        <v>0</v>
      </c>
      <c r="I23" s="27">
        <f t="shared" si="5"/>
        <v>0</v>
      </c>
      <c r="J23" s="27">
        <f t="shared" si="5"/>
        <v>0</v>
      </c>
    </row>
    <row r="24" spans="1:11" x14ac:dyDescent="0.3">
      <c r="F24" s="8" t="s">
        <v>34</v>
      </c>
      <c r="G24" s="7">
        <f>SUM(G22:G23)</f>
        <v>200</v>
      </c>
      <c r="H24" s="7">
        <f t="shared" ref="H24:J24" si="6">SUM(H22:H23)</f>
        <v>8</v>
      </c>
      <c r="I24" s="7">
        <f t="shared" si="6"/>
        <v>750.6</v>
      </c>
      <c r="J24" s="7">
        <f t="shared" si="6"/>
        <v>542.6</v>
      </c>
    </row>
  </sheetData>
  <mergeCells count="1">
    <mergeCell ref="E11:G11"/>
  </mergeCells>
  <pageMargins left="0.7" right="0.7" top="0.75" bottom="0.75" header="0.3" footer="0.3"/>
  <pageSetup scale="78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55C0-CAE4-42BB-8692-F51651F9AD68}">
  <sheetPr>
    <pageSetUpPr fitToPage="1"/>
  </sheetPr>
  <dimension ref="A1:K24"/>
  <sheetViews>
    <sheetView showGridLines="0" zoomScaleNormal="100" workbookViewId="0">
      <selection activeCell="D13" sqref="D13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v>1</v>
      </c>
      <c r="E1" s="5" t="s">
        <v>26</v>
      </c>
      <c r="F1" s="6">
        <v>32</v>
      </c>
      <c r="G1" s="6" t="s">
        <v>68</v>
      </c>
    </row>
    <row r="2" spans="1:11" x14ac:dyDescent="0.3">
      <c r="A2" s="96" t="s">
        <v>6</v>
      </c>
      <c r="B2" s="96">
        <v>0</v>
      </c>
      <c r="E2" s="5" t="s">
        <v>16</v>
      </c>
      <c r="F2" s="43">
        <f>F1-B6</f>
        <v>2</v>
      </c>
      <c r="G2" s="6" t="s">
        <v>68</v>
      </c>
    </row>
    <row r="3" spans="1:11" x14ac:dyDescent="0.3">
      <c r="A3" s="93" t="s">
        <v>0</v>
      </c>
      <c r="B3" s="76">
        <v>0</v>
      </c>
    </row>
    <row r="4" spans="1:11" x14ac:dyDescent="0.3">
      <c r="A4" s="96" t="s">
        <v>68</v>
      </c>
      <c r="B4" s="96">
        <v>1</v>
      </c>
    </row>
    <row r="5" spans="1:11" x14ac:dyDescent="0.3">
      <c r="A5" s="93" t="s">
        <v>1</v>
      </c>
      <c r="B5" s="76">
        <f>B3*B4</f>
        <v>0</v>
      </c>
    </row>
    <row r="6" spans="1:11" x14ac:dyDescent="0.3">
      <c r="A6" s="6" t="s">
        <v>68</v>
      </c>
      <c r="B6" s="27">
        <f>+B7</f>
        <v>30</v>
      </c>
    </row>
    <row r="7" spans="1:11" x14ac:dyDescent="0.3">
      <c r="A7" s="28" t="s">
        <v>68</v>
      </c>
      <c r="B7" s="29">
        <f>D13</f>
        <v>30</v>
      </c>
    </row>
    <row r="8" spans="1:11" x14ac:dyDescent="0.3">
      <c r="A8" s="6" t="s">
        <v>7</v>
      </c>
      <c r="B8" s="6">
        <v>17</v>
      </c>
    </row>
    <row r="9" spans="1:11" x14ac:dyDescent="0.3">
      <c r="A9" s="28" t="s">
        <v>4</v>
      </c>
      <c r="B9" s="29">
        <v>4</v>
      </c>
    </row>
    <row r="11" spans="1:11" x14ac:dyDescent="0.3">
      <c r="A11" s="1">
        <v>45306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39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68</v>
      </c>
      <c r="E12" s="30" t="s">
        <v>11</v>
      </c>
      <c r="F12" s="30" t="s">
        <v>68</v>
      </c>
      <c r="G12" s="30" t="s">
        <v>4</v>
      </c>
      <c r="H12" s="18" t="s">
        <v>4</v>
      </c>
      <c r="I12" s="19" t="s">
        <v>4</v>
      </c>
      <c r="J12" s="36" t="s">
        <v>4</v>
      </c>
      <c r="K12" s="18"/>
    </row>
    <row r="13" spans="1:11" x14ac:dyDescent="0.3">
      <c r="A13" s="6" t="s">
        <v>21</v>
      </c>
      <c r="B13" s="6" t="s">
        <v>25</v>
      </c>
      <c r="C13" s="9"/>
      <c r="D13" s="16">
        <v>30</v>
      </c>
      <c r="E13" s="31">
        <f>(C13*$B$2)+D13</f>
        <v>30</v>
      </c>
      <c r="F13" s="31">
        <f>+B6</f>
        <v>30</v>
      </c>
      <c r="G13" s="31">
        <f>F13*$B$8</f>
        <v>510</v>
      </c>
      <c r="H13" s="10"/>
      <c r="I13" s="21">
        <v>543</v>
      </c>
      <c r="J13" s="37">
        <f>I13-G13-H13</f>
        <v>33</v>
      </c>
      <c r="K13" s="40" t="s">
        <v>19</v>
      </c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>E14*$B$4*$B$6</f>
        <v>0</v>
      </c>
      <c r="G14" s="31">
        <f>F14*$B$8</f>
        <v>0</v>
      </c>
      <c r="H14" s="10"/>
      <c r="I14" s="20"/>
      <c r="J14" s="37">
        <f>I14-G14-H14</f>
        <v>0</v>
      </c>
      <c r="K14" s="40"/>
    </row>
    <row r="15" spans="1:11" x14ac:dyDescent="0.3">
      <c r="A15" s="6"/>
      <c r="B15" s="6"/>
      <c r="C15" s="9"/>
      <c r="D15" s="16"/>
      <c r="E15" s="31">
        <f t="shared" ref="E15:E17" si="0">(C15*$B$2)+D15</f>
        <v>0</v>
      </c>
      <c r="F15" s="31">
        <f t="shared" ref="F15:F17" si="1">E15*$B$4*$B$6</f>
        <v>0</v>
      </c>
      <c r="G15" s="31">
        <f t="shared" ref="G15:G17" si="2">F15*$B$8</f>
        <v>0</v>
      </c>
      <c r="H15" s="10"/>
      <c r="I15" s="21"/>
      <c r="J15" s="37">
        <f t="shared" ref="J15:J17" si="3">I15-G15-H15</f>
        <v>0</v>
      </c>
      <c r="K15" s="40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7">
        <f t="shared" si="3"/>
        <v>0</v>
      </c>
      <c r="K16" s="10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7">
        <f t="shared" si="3"/>
        <v>0</v>
      </c>
      <c r="K17" s="10"/>
    </row>
    <row r="18" spans="1:11" x14ac:dyDescent="0.3">
      <c r="A18" s="5" t="s">
        <v>11</v>
      </c>
      <c r="B18" s="6"/>
      <c r="C18" s="7">
        <f t="shared" ref="C18:I18" si="4">SUM(C13:C17)</f>
        <v>0</v>
      </c>
      <c r="D18" s="17">
        <f t="shared" si="4"/>
        <v>30</v>
      </c>
      <c r="E18" s="32">
        <f t="shared" si="4"/>
        <v>30</v>
      </c>
      <c r="F18" s="32">
        <f t="shared" si="4"/>
        <v>30</v>
      </c>
      <c r="G18" s="32">
        <f t="shared" si="4"/>
        <v>510</v>
      </c>
      <c r="H18" s="32">
        <f t="shared" si="4"/>
        <v>0</v>
      </c>
      <c r="I18" s="32">
        <f t="shared" si="4"/>
        <v>543</v>
      </c>
      <c r="J18" s="38"/>
      <c r="K18" s="11"/>
    </row>
    <row r="19" spans="1:11" x14ac:dyDescent="0.3">
      <c r="E19" s="4">
        <f>E18/F1</f>
        <v>0.9375</v>
      </c>
    </row>
    <row r="20" spans="1:11" x14ac:dyDescent="0.3">
      <c r="E20" s="4"/>
    </row>
    <row r="21" spans="1:11" x14ac:dyDescent="0.3">
      <c r="E21" s="4"/>
      <c r="F21" s="51" t="s">
        <v>12</v>
      </c>
      <c r="G21" s="51" t="s">
        <v>4</v>
      </c>
      <c r="H21" s="51" t="s">
        <v>14</v>
      </c>
      <c r="I21" s="51" t="s">
        <v>13</v>
      </c>
      <c r="J21" s="51" t="s">
        <v>15</v>
      </c>
    </row>
    <row r="22" spans="1:11" x14ac:dyDescent="0.3">
      <c r="F22" s="26" t="s">
        <v>25</v>
      </c>
      <c r="G22" s="27">
        <f>SUMIF($B$13:$B$18,$F$22,G13:G18)</f>
        <v>510</v>
      </c>
      <c r="H22" s="27">
        <f>SUMIF($B$13:$B$18,$F$22,H13:H18)</f>
        <v>0</v>
      </c>
      <c r="I22" s="27">
        <f>SUMIF($B$13:$B$18,$F$22,I13:I18)</f>
        <v>543</v>
      </c>
      <c r="J22" s="27">
        <f>SUMIF($B$13:$B$18,$F$22,J13:J18)</f>
        <v>33</v>
      </c>
    </row>
    <row r="23" spans="1:11" x14ac:dyDescent="0.3">
      <c r="F23" s="14" t="s">
        <v>27</v>
      </c>
      <c r="G23" s="27">
        <f>SUMIF($B$13:$B$18,$F$24,G12:G17)</f>
        <v>0</v>
      </c>
      <c r="H23" s="27">
        <f t="shared" ref="H23:J23" si="5">SUMIF($B$13:$B$18,$F$24,H12:H17)</f>
        <v>0</v>
      </c>
      <c r="I23" s="27">
        <f t="shared" si="5"/>
        <v>0</v>
      </c>
      <c r="J23" s="27">
        <f t="shared" si="5"/>
        <v>0</v>
      </c>
    </row>
    <row r="24" spans="1:11" x14ac:dyDescent="0.3">
      <c r="F24" s="8" t="s">
        <v>34</v>
      </c>
      <c r="G24" s="7">
        <f>SUM(G22:G23)</f>
        <v>510</v>
      </c>
      <c r="H24" s="7">
        <f t="shared" ref="H24:J24" si="6">SUM(H22:H23)</f>
        <v>0</v>
      </c>
      <c r="I24" s="7">
        <f t="shared" si="6"/>
        <v>543</v>
      </c>
      <c r="J24" s="7">
        <f t="shared" si="6"/>
        <v>33</v>
      </c>
    </row>
  </sheetData>
  <mergeCells count="1">
    <mergeCell ref="E11:G11"/>
  </mergeCells>
  <pageMargins left="0.7" right="0.7" top="0.75" bottom="0.75" header="0.3" footer="0.3"/>
  <pageSetup scale="78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EF72-8FB8-46B2-A028-D18653159237}">
  <sheetPr>
    <pageSetUpPr fitToPage="1"/>
  </sheetPr>
  <dimension ref="A1:K25"/>
  <sheetViews>
    <sheetView showGridLines="0" zoomScaleNormal="100" workbookViewId="0">
      <selection activeCell="F13" sqref="F13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0.5</v>
      </c>
      <c r="E1" s="5" t="s">
        <v>26</v>
      </c>
      <c r="F1" s="6">
        <v>50</v>
      </c>
      <c r="G1" s="6" t="s">
        <v>18</v>
      </c>
    </row>
    <row r="2" spans="1:11" x14ac:dyDescent="0.3">
      <c r="A2" s="6" t="s">
        <v>6</v>
      </c>
      <c r="B2" s="6">
        <v>36</v>
      </c>
      <c r="E2" s="5" t="s">
        <v>16</v>
      </c>
      <c r="F2" s="35">
        <f>F1-B3</f>
        <v>32</v>
      </c>
      <c r="G2" s="6" t="s">
        <v>18</v>
      </c>
    </row>
    <row r="3" spans="1:11" x14ac:dyDescent="0.3">
      <c r="A3" s="28" t="s">
        <v>0</v>
      </c>
      <c r="B3" s="29">
        <f>B1*B2</f>
        <v>18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54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540</v>
      </c>
    </row>
    <row r="8" spans="1:11" x14ac:dyDescent="0.3">
      <c r="A8" s="6" t="s">
        <v>7</v>
      </c>
      <c r="B8" s="6">
        <v>0.435</v>
      </c>
    </row>
    <row r="9" spans="1:11" x14ac:dyDescent="0.3">
      <c r="A9" s="28" t="s">
        <v>4</v>
      </c>
      <c r="B9" s="29">
        <f>B7*B8</f>
        <v>234.9</v>
      </c>
    </row>
    <row r="11" spans="1:11" x14ac:dyDescent="0.3">
      <c r="A11" s="1">
        <v>44944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21</v>
      </c>
      <c r="B13" s="6" t="s">
        <v>27</v>
      </c>
      <c r="C13" s="9"/>
      <c r="D13" s="16">
        <v>12</v>
      </c>
      <c r="E13" s="31">
        <f t="shared" ref="E13:E18" si="0">(C13*$B$2)+D13</f>
        <v>12</v>
      </c>
      <c r="F13" s="31">
        <f>E13*$B$4*$B$6</f>
        <v>360</v>
      </c>
      <c r="G13" s="31">
        <f t="shared" ref="G13:G18" si="1">F13*$B$8</f>
        <v>156.6</v>
      </c>
      <c r="H13" s="10">
        <v>68</v>
      </c>
      <c r="I13" s="20">
        <v>627</v>
      </c>
      <c r="J13" s="33">
        <f>I13-G13-H13</f>
        <v>402.4</v>
      </c>
      <c r="K13" s="24" t="s">
        <v>33</v>
      </c>
    </row>
    <row r="14" spans="1:11" x14ac:dyDescent="0.3">
      <c r="A14" s="6" t="s">
        <v>22</v>
      </c>
      <c r="B14" s="6" t="s">
        <v>25</v>
      </c>
      <c r="C14" s="9"/>
      <c r="D14" s="16">
        <v>6</v>
      </c>
      <c r="E14" s="31">
        <f t="shared" si="0"/>
        <v>6</v>
      </c>
      <c r="F14" s="31">
        <f t="shared" ref="F14:F18" si="2">E14*$B$4*$B$6</f>
        <v>180</v>
      </c>
      <c r="G14" s="31">
        <f t="shared" si="1"/>
        <v>78.3</v>
      </c>
      <c r="H14" s="10"/>
      <c r="I14" s="21">
        <v>50</v>
      </c>
      <c r="J14" s="33">
        <f>I14-G14-H14</f>
        <v>-28.299999999999997</v>
      </c>
      <c r="K14" s="24" t="s">
        <v>28</v>
      </c>
    </row>
    <row r="15" spans="1:11" x14ac:dyDescent="0.3">
      <c r="A15" s="6"/>
      <c r="B15" s="6"/>
      <c r="C15" s="9"/>
      <c r="D15" s="16"/>
      <c r="E15" s="31">
        <f t="shared" si="0"/>
        <v>0</v>
      </c>
      <c r="F15" s="31">
        <f t="shared" si="2"/>
        <v>0</v>
      </c>
      <c r="G15" s="31">
        <f t="shared" si="1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2"/>
        <v>0</v>
      </c>
      <c r="G16" s="31">
        <f t="shared" si="1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2"/>
        <v>0</v>
      </c>
      <c r="G17" s="31">
        <f t="shared" si="1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2"/>
        <v>0</v>
      </c>
      <c r="G18" s="31">
        <f t="shared" si="1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18</v>
      </c>
      <c r="E19" s="32">
        <f>SUM(E13:E18)</f>
        <v>18</v>
      </c>
      <c r="F19" s="32">
        <f>SUM(F13:F18)</f>
        <v>540</v>
      </c>
      <c r="G19" s="32">
        <f>SUM(G13:G18)</f>
        <v>234.89999999999998</v>
      </c>
      <c r="H19" s="11"/>
      <c r="I19" s="22"/>
      <c r="J19" s="34"/>
      <c r="K19" s="25"/>
    </row>
    <row r="20" spans="1:11" x14ac:dyDescent="0.3">
      <c r="E20" s="4">
        <f>E19/F1</f>
        <v>0.36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78.3</v>
      </c>
      <c r="H23" s="27">
        <f t="shared" ref="H23:J23" si="4">SUMIF($B$13:$B$18,$F$23,H13:H18)</f>
        <v>0</v>
      </c>
      <c r="I23" s="27">
        <f t="shared" si="4"/>
        <v>50</v>
      </c>
      <c r="J23" s="27">
        <f t="shared" si="4"/>
        <v>-28.299999999999997</v>
      </c>
    </row>
    <row r="24" spans="1:11" x14ac:dyDescent="0.3">
      <c r="F24" s="14" t="s">
        <v>27</v>
      </c>
      <c r="G24" s="27">
        <f>SUMIF($B$13:$B$18,$F$24,G13:G18)</f>
        <v>156.6</v>
      </c>
      <c r="H24" s="27">
        <f t="shared" ref="H24:J24" si="5">SUMIF($B$13:$B$18,$F$24,H13:H18)</f>
        <v>68</v>
      </c>
      <c r="I24" s="27">
        <f t="shared" si="5"/>
        <v>627</v>
      </c>
      <c r="J24" s="27">
        <f t="shared" si="5"/>
        <v>402.4</v>
      </c>
    </row>
    <row r="25" spans="1:11" x14ac:dyDescent="0.3">
      <c r="F25" s="8" t="s">
        <v>34</v>
      </c>
      <c r="G25" s="7">
        <f>SUM(G23:G24)</f>
        <v>234.89999999999998</v>
      </c>
      <c r="H25" s="7">
        <f t="shared" ref="H25:J25" si="6">SUM(H23:H24)</f>
        <v>68</v>
      </c>
      <c r="I25" s="7">
        <f t="shared" si="6"/>
        <v>677</v>
      </c>
      <c r="J25" s="7">
        <f t="shared" si="6"/>
        <v>374.09999999999997</v>
      </c>
    </row>
  </sheetData>
  <mergeCells count="1">
    <mergeCell ref="E11:G11"/>
  </mergeCells>
  <pageMargins left="0.7" right="0.7" top="0.75" bottom="0.75" header="0.3" footer="0.3"/>
  <pageSetup scale="74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C321-5B93-4667-8350-E250991D0FD8}">
  <sheetPr>
    <pageSetUpPr fitToPage="1"/>
  </sheetPr>
  <dimension ref="A1:K25"/>
  <sheetViews>
    <sheetView showGridLines="0" zoomScaleNormal="100" workbookViewId="0">
      <selection activeCell="I7" sqref="I7"/>
    </sheetView>
  </sheetViews>
  <sheetFormatPr defaultRowHeight="14.4" x14ac:dyDescent="0.3"/>
  <cols>
    <col min="1" max="1" width="32.664062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1</v>
      </c>
      <c r="E1" s="5" t="s">
        <v>26</v>
      </c>
      <c r="F1" s="6">
        <v>80</v>
      </c>
      <c r="G1" s="6" t="s">
        <v>18</v>
      </c>
    </row>
    <row r="2" spans="1:11" x14ac:dyDescent="0.3">
      <c r="A2" s="6" t="s">
        <v>6</v>
      </c>
      <c r="B2" s="6">
        <v>80</v>
      </c>
      <c r="E2" s="5" t="s">
        <v>16</v>
      </c>
      <c r="F2" s="43">
        <f>F1-B3</f>
        <v>0</v>
      </c>
      <c r="G2" s="6" t="s">
        <v>18</v>
      </c>
    </row>
    <row r="3" spans="1:11" x14ac:dyDescent="0.3">
      <c r="A3" s="28" t="s">
        <v>50</v>
      </c>
      <c r="B3" s="76">
        <f>+B1*B2</f>
        <v>80</v>
      </c>
    </row>
    <row r="4" spans="1:11" x14ac:dyDescent="0.3">
      <c r="A4" s="6" t="s">
        <v>8</v>
      </c>
      <c r="B4" s="6">
        <v>1</v>
      </c>
    </row>
    <row r="5" spans="1:11" x14ac:dyDescent="0.3">
      <c r="A5" s="28" t="s">
        <v>49</v>
      </c>
      <c r="B5" s="29">
        <f>B1*B2</f>
        <v>80</v>
      </c>
    </row>
    <row r="6" spans="1:11" x14ac:dyDescent="0.3">
      <c r="A6" s="6" t="s">
        <v>9</v>
      </c>
      <c r="B6" s="6">
        <v>12</v>
      </c>
    </row>
    <row r="7" spans="1:11" x14ac:dyDescent="0.3">
      <c r="A7" s="28" t="s">
        <v>2</v>
      </c>
      <c r="B7" s="29">
        <f>B5*B6</f>
        <v>960</v>
      </c>
    </row>
    <row r="8" spans="1:11" x14ac:dyDescent="0.3">
      <c r="A8" s="6" t="s">
        <v>7</v>
      </c>
      <c r="B8" s="6">
        <f>+((120+124)/2)/1000</f>
        <v>0.122</v>
      </c>
      <c r="J8" s="87"/>
    </row>
    <row r="9" spans="1:11" x14ac:dyDescent="0.3">
      <c r="A9" s="28" t="s">
        <v>4</v>
      </c>
      <c r="B9" s="29">
        <f>B7*B8</f>
        <v>117.12</v>
      </c>
    </row>
    <row r="11" spans="1:11" x14ac:dyDescent="0.3">
      <c r="A11" s="1">
        <v>45222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51</v>
      </c>
      <c r="B13" s="6" t="s">
        <v>25</v>
      </c>
      <c r="C13" s="9"/>
      <c r="D13" s="16">
        <v>80</v>
      </c>
      <c r="E13" s="31">
        <f t="shared" ref="E13:E18" si="0">(C13*$B$2)+D13</f>
        <v>80</v>
      </c>
      <c r="F13" s="31">
        <f>E13*$B$6</f>
        <v>960</v>
      </c>
      <c r="G13" s="86">
        <f>F13*$B$8</f>
        <v>117.12</v>
      </c>
      <c r="H13" s="10">
        <v>6</v>
      </c>
      <c r="I13" s="83">
        <v>500</v>
      </c>
      <c r="J13" s="82">
        <f>I13-G13-H13</f>
        <v>376.88</v>
      </c>
      <c r="K13" s="24"/>
    </row>
    <row r="14" spans="1:11" x14ac:dyDescent="0.3">
      <c r="A14" s="6"/>
      <c r="B14" s="6"/>
      <c r="C14" s="9"/>
      <c r="D14" s="16"/>
      <c r="E14" s="31">
        <f t="shared" si="0"/>
        <v>0</v>
      </c>
      <c r="F14" s="31">
        <f t="shared" ref="F14:F18" si="1">E14*$B$4*$B$6</f>
        <v>0</v>
      </c>
      <c r="G14" s="31">
        <f t="shared" ref="G14:G18" si="2">F14*$B$8</f>
        <v>0</v>
      </c>
      <c r="H14" s="10"/>
      <c r="I14" s="21"/>
      <c r="J14" s="33">
        <f>I14-G14-H14</f>
        <v>0</v>
      </c>
      <c r="K14" s="24"/>
    </row>
    <row r="15" spans="1:11" x14ac:dyDescent="0.3">
      <c r="A15" s="6"/>
      <c r="B15" s="6"/>
      <c r="C15" s="9"/>
      <c r="D15" s="16"/>
      <c r="E15" s="31">
        <f t="shared" si="0"/>
        <v>0</v>
      </c>
      <c r="F15" s="31">
        <f t="shared" si="1"/>
        <v>0</v>
      </c>
      <c r="G15" s="31">
        <f t="shared" si="2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80</v>
      </c>
      <c r="E19" s="32">
        <f>SUM(E13:E18)</f>
        <v>80</v>
      </c>
      <c r="F19" s="32">
        <f>SUM(F13:F18)</f>
        <v>960</v>
      </c>
      <c r="G19" s="32">
        <f>SUM(G13:G18)</f>
        <v>117.12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  <c r="G21" s="4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88">
        <f>SUMIF($B$13:$B$18,$F$23,G13:G18)</f>
        <v>117.12</v>
      </c>
      <c r="H23" s="88">
        <f t="shared" ref="H23:J23" si="4">SUMIF($B$13:$B$18,$F$23,H13:H18)</f>
        <v>6</v>
      </c>
      <c r="I23" s="88">
        <f t="shared" si="4"/>
        <v>500</v>
      </c>
      <c r="J23" s="88">
        <f t="shared" si="4"/>
        <v>376.88</v>
      </c>
    </row>
    <row r="24" spans="1:11" x14ac:dyDescent="0.3">
      <c r="F24" s="14" t="s">
        <v>27</v>
      </c>
      <c r="G24" s="88">
        <f>SUMIF($B$13:$B$18,$F$24,G13:G18)</f>
        <v>0</v>
      </c>
      <c r="H24" s="88">
        <f t="shared" ref="H24:J24" si="5">SUMIF($B$13:$B$18,$F$24,H13:H18)</f>
        <v>0</v>
      </c>
      <c r="I24" s="88">
        <f t="shared" si="5"/>
        <v>0</v>
      </c>
      <c r="J24" s="88">
        <f t="shared" si="5"/>
        <v>0</v>
      </c>
    </row>
    <row r="25" spans="1:11" x14ac:dyDescent="0.3">
      <c r="F25" s="8" t="s">
        <v>34</v>
      </c>
      <c r="G25" s="89">
        <f>SUM(G23:G24)</f>
        <v>117.12</v>
      </c>
      <c r="H25" s="89">
        <f t="shared" ref="H25:J25" si="6">SUM(H23:H24)</f>
        <v>6</v>
      </c>
      <c r="I25" s="89">
        <f t="shared" si="6"/>
        <v>500</v>
      </c>
      <c r="J25" s="89">
        <f t="shared" si="6"/>
        <v>376.88</v>
      </c>
    </row>
  </sheetData>
  <mergeCells count="1">
    <mergeCell ref="E11:G11"/>
  </mergeCells>
  <pageMargins left="0.7" right="0.7" top="0.75" bottom="0.75" header="0.3" footer="0.3"/>
  <pageSetup scale="76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714A-F500-4814-BC52-8E8C695237B9}">
  <sheetPr>
    <pageSetUpPr fitToPage="1"/>
  </sheetPr>
  <dimension ref="A1:K25"/>
  <sheetViews>
    <sheetView showGridLines="0" zoomScaleNormal="100" workbookViewId="0">
      <selection activeCell="M20" sqref="M20"/>
    </sheetView>
  </sheetViews>
  <sheetFormatPr defaultRowHeight="14.4" x14ac:dyDescent="0.3"/>
  <cols>
    <col min="1" max="1" width="32.664062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1.2875000000000001</v>
      </c>
      <c r="C1" s="69">
        <v>2</v>
      </c>
      <c r="E1" s="5" t="s">
        <v>26</v>
      </c>
      <c r="F1" s="162">
        <v>53</v>
      </c>
      <c r="G1" s="6" t="s">
        <v>18</v>
      </c>
    </row>
    <row r="2" spans="1:11" x14ac:dyDescent="0.3">
      <c r="A2" s="6" t="s">
        <v>6</v>
      </c>
      <c r="B2" s="6">
        <v>40</v>
      </c>
      <c r="E2" s="5" t="s">
        <v>16</v>
      </c>
      <c r="F2" s="73">
        <f>F1-B3</f>
        <v>1.5</v>
      </c>
      <c r="G2" s="6" t="s">
        <v>18</v>
      </c>
    </row>
    <row r="3" spans="1:11" x14ac:dyDescent="0.3">
      <c r="A3" s="28" t="s">
        <v>0</v>
      </c>
      <c r="B3" s="70">
        <f>B1*B2</f>
        <v>51.5</v>
      </c>
      <c r="C3" s="119">
        <v>51</v>
      </c>
      <c r="F3" s="154"/>
    </row>
    <row r="4" spans="1:11" x14ac:dyDescent="0.3">
      <c r="A4" s="6" t="s">
        <v>8</v>
      </c>
      <c r="B4" s="6">
        <v>4</v>
      </c>
    </row>
    <row r="5" spans="1:11" x14ac:dyDescent="0.3">
      <c r="A5" s="28" t="s">
        <v>1</v>
      </c>
      <c r="B5" s="29">
        <f>B3*B4</f>
        <v>206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2060</v>
      </c>
    </row>
    <row r="8" spans="1:11" x14ac:dyDescent="0.3">
      <c r="A8" s="6" t="s">
        <v>7</v>
      </c>
      <c r="B8" s="6">
        <v>0.4</v>
      </c>
      <c r="J8" s="87"/>
    </row>
    <row r="9" spans="1:11" x14ac:dyDescent="0.3">
      <c r="A9" s="28" t="s">
        <v>4</v>
      </c>
      <c r="B9" s="29">
        <f>B7*B8</f>
        <v>824</v>
      </c>
    </row>
    <row r="11" spans="1:11" x14ac:dyDescent="0.3">
      <c r="A11" s="1">
        <v>45649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124</v>
      </c>
      <c r="B13" s="6" t="s">
        <v>25</v>
      </c>
      <c r="C13" s="9"/>
      <c r="D13" s="16">
        <v>3</v>
      </c>
      <c r="E13" s="72">
        <f t="shared" ref="E13:E18" si="0">(C13*$B$2)+D13</f>
        <v>3</v>
      </c>
      <c r="F13" s="31">
        <f>E13*$B$4*$B$6</f>
        <v>120</v>
      </c>
      <c r="G13" s="72">
        <f>F13*$B$8</f>
        <v>48</v>
      </c>
      <c r="H13" s="91">
        <v>15</v>
      </c>
      <c r="I13" s="92">
        <v>105.3</v>
      </c>
      <c r="J13" s="72">
        <f>I13-G13-H13</f>
        <v>42.3</v>
      </c>
      <c r="K13" s="24" t="s">
        <v>19</v>
      </c>
    </row>
    <row r="14" spans="1:11" x14ac:dyDescent="0.3">
      <c r="A14" s="6" t="s">
        <v>123</v>
      </c>
      <c r="B14" s="6" t="s">
        <v>25</v>
      </c>
      <c r="C14" s="9"/>
      <c r="D14" s="16">
        <f>14+8</f>
        <v>22</v>
      </c>
      <c r="E14" s="72">
        <f t="shared" si="0"/>
        <v>22</v>
      </c>
      <c r="F14" s="31">
        <f t="shared" ref="F14:F18" si="1">E14*$B$4*$B$6</f>
        <v>880</v>
      </c>
      <c r="G14" s="72">
        <f t="shared" ref="G14:G18" si="2">F14*$B$8</f>
        <v>352</v>
      </c>
      <c r="H14" s="91"/>
      <c r="I14" s="92">
        <v>360</v>
      </c>
      <c r="J14" s="72">
        <f>I14-G14-H14</f>
        <v>8</v>
      </c>
      <c r="K14" s="24" t="s">
        <v>19</v>
      </c>
    </row>
    <row r="15" spans="1:11" x14ac:dyDescent="0.3">
      <c r="A15" s="6" t="s">
        <v>84</v>
      </c>
      <c r="B15" s="6" t="s">
        <v>25</v>
      </c>
      <c r="C15" s="9"/>
      <c r="D15" s="71">
        <v>26.5</v>
      </c>
      <c r="E15" s="72">
        <f t="shared" si="0"/>
        <v>26.5</v>
      </c>
      <c r="F15" s="31">
        <f t="shared" si="1"/>
        <v>1060</v>
      </c>
      <c r="G15" s="72">
        <f t="shared" si="2"/>
        <v>424</v>
      </c>
      <c r="H15" s="91">
        <v>2</v>
      </c>
      <c r="I15" s="92">
        <v>380</v>
      </c>
      <c r="J15" s="163">
        <f t="shared" ref="J15:J18" si="3">I15-G15-H15</f>
        <v>-46</v>
      </c>
      <c r="K15" s="24" t="s">
        <v>17</v>
      </c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51.5</v>
      </c>
      <c r="E19" s="140">
        <f>SUM(E13:E18)</f>
        <v>51.5</v>
      </c>
      <c r="F19" s="32">
        <f>SUM(F13:F18)</f>
        <v>2060</v>
      </c>
      <c r="G19" s="32">
        <f>SUM(G13:G18)</f>
        <v>824</v>
      </c>
      <c r="H19" s="11"/>
      <c r="I19" s="22"/>
      <c r="J19" s="34"/>
      <c r="K19" s="25"/>
    </row>
    <row r="20" spans="1:11" x14ac:dyDescent="0.3">
      <c r="E20" s="4">
        <f>E19/F1</f>
        <v>0.97169811320754718</v>
      </c>
    </row>
    <row r="21" spans="1:11" x14ac:dyDescent="0.3">
      <c r="E21" s="4"/>
      <c r="G21" s="4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824</v>
      </c>
      <c r="H23" s="27">
        <f t="shared" ref="H23:J23" si="4">SUMIF($B$13:$B$18,$F$23,H13:H18)</f>
        <v>17</v>
      </c>
      <c r="I23" s="27">
        <f t="shared" si="4"/>
        <v>845.3</v>
      </c>
      <c r="J23" s="27">
        <f t="shared" si="4"/>
        <v>4.2999999999999972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824</v>
      </c>
      <c r="H25" s="7">
        <f t="shared" ref="H25:J25" si="6">SUM(H23:H24)</f>
        <v>17</v>
      </c>
      <c r="I25" s="7">
        <f t="shared" si="6"/>
        <v>845.3</v>
      </c>
      <c r="J25" s="7">
        <f t="shared" si="6"/>
        <v>4.2999999999999972</v>
      </c>
    </row>
  </sheetData>
  <mergeCells count="1">
    <mergeCell ref="E11:G11"/>
  </mergeCells>
  <pageMargins left="0.7" right="0.7" top="0.75" bottom="0.75" header="0.3" footer="0.3"/>
  <pageSetup scale="76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68D53-9700-4DFD-837F-FDE45F7923AA}">
  <sheetPr>
    <pageSetUpPr fitToPage="1"/>
  </sheetPr>
  <dimension ref="A1:K25"/>
  <sheetViews>
    <sheetView showGridLines="0" zoomScaleNormal="100" workbookViewId="0">
      <selection activeCell="G12" sqref="G12"/>
    </sheetView>
  </sheetViews>
  <sheetFormatPr defaultRowHeight="14.4" x14ac:dyDescent="0.3"/>
  <cols>
    <col min="1" max="1" width="32.664062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2</v>
      </c>
      <c r="C1" s="69">
        <v>2</v>
      </c>
      <c r="E1" s="5" t="s">
        <v>26</v>
      </c>
      <c r="F1" s="6">
        <v>18</v>
      </c>
      <c r="G1" s="6" t="s">
        <v>89</v>
      </c>
    </row>
    <row r="2" spans="1:11" x14ac:dyDescent="0.3">
      <c r="A2" s="6" t="s">
        <v>88</v>
      </c>
      <c r="B2" s="6">
        <v>9</v>
      </c>
      <c r="E2" s="5" t="s">
        <v>16</v>
      </c>
      <c r="F2" s="43">
        <f>F1-B3</f>
        <v>18</v>
      </c>
      <c r="G2" s="6" t="s">
        <v>89</v>
      </c>
    </row>
    <row r="3" spans="1:11" x14ac:dyDescent="0.3">
      <c r="A3" s="93" t="s">
        <v>0</v>
      </c>
      <c r="B3" s="76">
        <v>0</v>
      </c>
    </row>
    <row r="4" spans="1:11" x14ac:dyDescent="0.3">
      <c r="A4" s="96" t="s">
        <v>8</v>
      </c>
      <c r="B4" s="96">
        <v>0</v>
      </c>
    </row>
    <row r="5" spans="1:11" x14ac:dyDescent="0.3">
      <c r="A5" s="93" t="s">
        <v>1</v>
      </c>
      <c r="B5" s="76">
        <v>0</v>
      </c>
    </row>
    <row r="6" spans="1:11" x14ac:dyDescent="0.3">
      <c r="A6" s="96" t="s">
        <v>9</v>
      </c>
      <c r="B6" s="96">
        <v>0</v>
      </c>
    </row>
    <row r="7" spans="1:11" x14ac:dyDescent="0.3">
      <c r="A7" s="28" t="s">
        <v>87</v>
      </c>
      <c r="B7" s="29">
        <f>+D19</f>
        <v>18</v>
      </c>
    </row>
    <row r="8" spans="1:11" x14ac:dyDescent="0.3">
      <c r="A8" s="6" t="s">
        <v>90</v>
      </c>
      <c r="B8" s="6">
        <v>55</v>
      </c>
      <c r="J8" s="87"/>
    </row>
    <row r="9" spans="1:11" x14ac:dyDescent="0.3">
      <c r="A9" s="28" t="s">
        <v>4</v>
      </c>
      <c r="B9" s="29">
        <f>B7*B8</f>
        <v>990</v>
      </c>
    </row>
    <row r="11" spans="1:11" x14ac:dyDescent="0.3">
      <c r="A11" s="1">
        <v>45379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89</v>
      </c>
      <c r="E12" s="30" t="s">
        <v>11</v>
      </c>
      <c r="F12" s="30" t="s">
        <v>87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84</v>
      </c>
      <c r="B13" s="6" t="s">
        <v>27</v>
      </c>
      <c r="C13" s="9"/>
      <c r="D13" s="16">
        <v>2</v>
      </c>
      <c r="E13" s="31">
        <f t="shared" ref="E13:E18" si="0">(C13*$B$2)+D13</f>
        <v>2</v>
      </c>
      <c r="F13" s="31">
        <v>2</v>
      </c>
      <c r="G13" s="31">
        <f>F13*$B$8</f>
        <v>110</v>
      </c>
      <c r="H13" s="10">
        <v>0</v>
      </c>
      <c r="I13" s="20">
        <v>939</v>
      </c>
      <c r="J13" s="82">
        <f>I13-G13-H13</f>
        <v>829</v>
      </c>
      <c r="K13" s="24"/>
    </row>
    <row r="14" spans="1:11" x14ac:dyDescent="0.3">
      <c r="A14" s="6" t="s">
        <v>84</v>
      </c>
      <c r="B14" s="6" t="s">
        <v>25</v>
      </c>
      <c r="C14" s="9"/>
      <c r="D14" s="16">
        <v>16</v>
      </c>
      <c r="E14" s="31">
        <f t="shared" ref="E14" si="1">(C14*$B$2)+D14</f>
        <v>16</v>
      </c>
      <c r="F14" s="31">
        <v>16</v>
      </c>
      <c r="G14" s="31">
        <f>F14*$B$8</f>
        <v>880</v>
      </c>
      <c r="H14" s="10">
        <v>0</v>
      </c>
      <c r="I14" s="83">
        <v>1725.3</v>
      </c>
      <c r="J14" s="82">
        <f>I14-G14-H14</f>
        <v>845.3</v>
      </c>
      <c r="K14" s="24"/>
    </row>
    <row r="15" spans="1:11" x14ac:dyDescent="0.3">
      <c r="A15" s="6"/>
      <c r="B15" s="6"/>
      <c r="C15" s="9"/>
      <c r="D15" s="16"/>
      <c r="E15" s="31">
        <f t="shared" si="0"/>
        <v>0</v>
      </c>
      <c r="F15" s="31">
        <f t="shared" ref="F15:F18" si="2">E15*$B$4*$B$6</f>
        <v>0</v>
      </c>
      <c r="G15" s="31">
        <f t="shared" ref="G15:G18" si="3">F15*$B$8</f>
        <v>0</v>
      </c>
      <c r="H15" s="10"/>
      <c r="I15" s="21"/>
      <c r="J15" s="33">
        <f t="shared" ref="J15:J18" si="4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2"/>
        <v>0</v>
      </c>
      <c r="G16" s="31">
        <f t="shared" si="3"/>
        <v>0</v>
      </c>
      <c r="H16" s="10"/>
      <c r="I16" s="21"/>
      <c r="J16" s="33">
        <f t="shared" si="4"/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2"/>
        <v>0</v>
      </c>
      <c r="G17" s="31">
        <f t="shared" si="3"/>
        <v>0</v>
      </c>
      <c r="H17" s="10"/>
      <c r="I17" s="21"/>
      <c r="J17" s="33">
        <f t="shared" si="4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2"/>
        <v>0</v>
      </c>
      <c r="G18" s="31">
        <f t="shared" si="3"/>
        <v>0</v>
      </c>
      <c r="H18" s="10"/>
      <c r="I18" s="21"/>
      <c r="J18" s="33">
        <f t="shared" si="4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18</v>
      </c>
      <c r="E19" s="32">
        <f>SUM(E13:E18)</f>
        <v>18</v>
      </c>
      <c r="F19" s="32">
        <f>SUM(F13:F18)</f>
        <v>18</v>
      </c>
      <c r="G19" s="32">
        <f>SUM(G13:G18)</f>
        <v>990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  <c r="G21" s="4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880</v>
      </c>
      <c r="H23" s="27">
        <f t="shared" ref="H23:J23" si="5">SUMIF($B$13:$B$18,$F$23,H13:H18)</f>
        <v>0</v>
      </c>
      <c r="I23" s="27">
        <f t="shared" si="5"/>
        <v>1725.3</v>
      </c>
      <c r="J23" s="27">
        <f t="shared" si="5"/>
        <v>845.3</v>
      </c>
    </row>
    <row r="24" spans="1:11" x14ac:dyDescent="0.3">
      <c r="F24" s="14" t="s">
        <v>27</v>
      </c>
      <c r="G24" s="27">
        <f>SUMIF($B$13:$B$18,$F$24,G13:G18)</f>
        <v>110</v>
      </c>
      <c r="H24" s="27">
        <f t="shared" ref="H24:J24" si="6">SUMIF($B$13:$B$18,$F$24,H13:H18)</f>
        <v>0</v>
      </c>
      <c r="I24" s="27">
        <f t="shared" si="6"/>
        <v>939</v>
      </c>
      <c r="J24" s="27">
        <f t="shared" si="6"/>
        <v>829</v>
      </c>
    </row>
    <row r="25" spans="1:11" x14ac:dyDescent="0.3">
      <c r="F25" s="8" t="s">
        <v>34</v>
      </c>
      <c r="G25" s="7">
        <f>SUM(G23:G24)</f>
        <v>990</v>
      </c>
      <c r="H25" s="7">
        <f t="shared" ref="H25:J25" si="7">SUM(H23:H24)</f>
        <v>0</v>
      </c>
      <c r="I25" s="7">
        <f t="shared" si="7"/>
        <v>2664.3</v>
      </c>
      <c r="J25" s="7">
        <f t="shared" si="7"/>
        <v>1674.3</v>
      </c>
    </row>
  </sheetData>
  <mergeCells count="1">
    <mergeCell ref="E11:G11"/>
  </mergeCells>
  <pageMargins left="0.7" right="0.7" top="0.75" bottom="0.75" header="0.3" footer="0.3"/>
  <pageSetup scale="76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BB91-4790-4AFE-B125-0997DFFE5307}">
  <sheetPr>
    <pageSetUpPr fitToPage="1"/>
  </sheetPr>
  <dimension ref="A1:K25"/>
  <sheetViews>
    <sheetView showGridLines="0" zoomScaleNormal="100" workbookViewId="0">
      <selection activeCell="J13" sqref="J13"/>
    </sheetView>
  </sheetViews>
  <sheetFormatPr defaultRowHeight="14.4" x14ac:dyDescent="0.3"/>
  <cols>
    <col min="1" max="1" width="32.664062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1</v>
      </c>
      <c r="C1" s="69">
        <v>1</v>
      </c>
      <c r="E1" s="5" t="s">
        <v>26</v>
      </c>
      <c r="F1" s="6">
        <v>24</v>
      </c>
      <c r="G1" s="6" t="s">
        <v>89</v>
      </c>
    </row>
    <row r="2" spans="1:11" x14ac:dyDescent="0.3">
      <c r="A2" s="6" t="s">
        <v>92</v>
      </c>
      <c r="B2" s="6">
        <v>24</v>
      </c>
      <c r="E2" s="5" t="s">
        <v>16</v>
      </c>
      <c r="F2" s="43">
        <f>F1-B3</f>
        <v>24</v>
      </c>
      <c r="G2" s="6" t="s">
        <v>89</v>
      </c>
    </row>
    <row r="3" spans="1:11" x14ac:dyDescent="0.3">
      <c r="A3" s="93" t="s">
        <v>0</v>
      </c>
      <c r="B3" s="76">
        <v>0</v>
      </c>
    </row>
    <row r="4" spans="1:11" x14ac:dyDescent="0.3">
      <c r="A4" s="96" t="s">
        <v>8</v>
      </c>
      <c r="B4" s="96">
        <v>0</v>
      </c>
    </row>
    <row r="5" spans="1:11" x14ac:dyDescent="0.3">
      <c r="A5" s="93" t="s">
        <v>1</v>
      </c>
      <c r="B5" s="76">
        <v>0</v>
      </c>
    </row>
    <row r="6" spans="1:11" x14ac:dyDescent="0.3">
      <c r="A6" s="96" t="s">
        <v>9</v>
      </c>
      <c r="B6" s="96">
        <v>0</v>
      </c>
    </row>
    <row r="7" spans="1:11" x14ac:dyDescent="0.3">
      <c r="A7" s="28" t="s">
        <v>91</v>
      </c>
      <c r="B7" s="29">
        <f>+D19</f>
        <v>24</v>
      </c>
    </row>
    <row r="8" spans="1:11" x14ac:dyDescent="0.3">
      <c r="A8" s="6" t="s">
        <v>93</v>
      </c>
      <c r="B8" s="6">
        <v>20</v>
      </c>
      <c r="J8" s="87"/>
    </row>
    <row r="9" spans="1:11" x14ac:dyDescent="0.3">
      <c r="A9" s="28" t="s">
        <v>4</v>
      </c>
      <c r="B9" s="29">
        <f>B7*B8</f>
        <v>480</v>
      </c>
    </row>
    <row r="11" spans="1:11" x14ac:dyDescent="0.3">
      <c r="A11" s="1">
        <v>45379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91</v>
      </c>
      <c r="E12" s="30" t="s">
        <v>11</v>
      </c>
      <c r="F12" s="30" t="s">
        <v>91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84</v>
      </c>
      <c r="B13" s="6" t="s">
        <v>27</v>
      </c>
      <c r="C13" s="9"/>
      <c r="D13" s="16">
        <v>24</v>
      </c>
      <c r="E13" s="31">
        <f t="shared" ref="E13:E18" si="0">(C13*$B$2)+D13</f>
        <v>24</v>
      </c>
      <c r="F13" s="31">
        <v>24</v>
      </c>
      <c r="G13" s="31">
        <f>F13*$B$8</f>
        <v>480</v>
      </c>
      <c r="H13" s="10">
        <v>0</v>
      </c>
      <c r="I13" s="20">
        <v>829</v>
      </c>
      <c r="J13" s="82">
        <f>I13-G13-H13</f>
        <v>349</v>
      </c>
      <c r="K13" s="24"/>
    </row>
    <row r="14" spans="1:11" x14ac:dyDescent="0.3">
      <c r="A14" s="6"/>
      <c r="B14" s="6"/>
      <c r="C14" s="9"/>
      <c r="D14" s="16"/>
      <c r="E14" s="31"/>
      <c r="F14" s="31"/>
      <c r="G14" s="31"/>
      <c r="H14" s="10"/>
      <c r="I14" s="83"/>
      <c r="J14" s="82"/>
      <c r="K14" s="24"/>
    </row>
    <row r="15" spans="1:11" x14ac:dyDescent="0.3">
      <c r="A15" s="6"/>
      <c r="B15" s="6"/>
      <c r="C15" s="9"/>
      <c r="D15" s="16"/>
      <c r="E15" s="31">
        <f t="shared" si="0"/>
        <v>0</v>
      </c>
      <c r="F15" s="31">
        <f t="shared" ref="F15:F18" si="1">E15*$B$4*$B$6</f>
        <v>0</v>
      </c>
      <c r="G15" s="31">
        <f t="shared" ref="G15:G18" si="2">F15*$B$8</f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24</v>
      </c>
      <c r="E19" s="32">
        <f>SUM(E13:E18)</f>
        <v>24</v>
      </c>
      <c r="F19" s="32">
        <f>SUM(F13:F18)</f>
        <v>24</v>
      </c>
      <c r="G19" s="32">
        <f>SUM(G13:G18)</f>
        <v>480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  <c r="G21" s="4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0</v>
      </c>
      <c r="H23" s="27">
        <f t="shared" ref="H23:J23" si="4">SUMIF($B$13:$B$18,$F$23,H13:H18)</f>
        <v>0</v>
      </c>
      <c r="I23" s="27">
        <f t="shared" si="4"/>
        <v>0</v>
      </c>
      <c r="J23" s="27">
        <f t="shared" si="4"/>
        <v>0</v>
      </c>
    </row>
    <row r="24" spans="1:11" x14ac:dyDescent="0.3">
      <c r="F24" s="14" t="s">
        <v>27</v>
      </c>
      <c r="G24" s="27">
        <f>SUMIF($B$13:$B$18,$F$24,G13:G18)</f>
        <v>480</v>
      </c>
      <c r="H24" s="27">
        <f t="shared" ref="H24:J24" si="5">SUMIF($B$13:$B$18,$F$24,H13:H18)</f>
        <v>0</v>
      </c>
      <c r="I24" s="27">
        <f t="shared" si="5"/>
        <v>829</v>
      </c>
      <c r="J24" s="27">
        <f t="shared" si="5"/>
        <v>349</v>
      </c>
    </row>
    <row r="25" spans="1:11" x14ac:dyDescent="0.3">
      <c r="F25" s="8" t="s">
        <v>34</v>
      </c>
      <c r="G25" s="7">
        <f>SUM(G23:G24)</f>
        <v>480</v>
      </c>
      <c r="H25" s="7">
        <f t="shared" ref="H25:J25" si="6">SUM(H23:H24)</f>
        <v>0</v>
      </c>
      <c r="I25" s="7">
        <f t="shared" si="6"/>
        <v>829</v>
      </c>
      <c r="J25" s="7">
        <f t="shared" si="6"/>
        <v>349</v>
      </c>
    </row>
  </sheetData>
  <mergeCells count="1">
    <mergeCell ref="E11:G11"/>
  </mergeCells>
  <pageMargins left="0.7" right="0.7" top="0.75" bottom="0.75" header="0.3" footer="0.3"/>
  <pageSetup scale="76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07E55-6220-476D-BBA9-DB39B1CC1E92}">
  <sheetPr>
    <pageSetUpPr fitToPage="1"/>
  </sheetPr>
  <dimension ref="A1:K25"/>
  <sheetViews>
    <sheetView showGridLines="0" zoomScaleNormal="100" workbookViewId="0">
      <selection activeCell="F3" sqref="F3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0.22916666666666666</v>
      </c>
      <c r="C1" s="84" t="s">
        <v>48</v>
      </c>
      <c r="E1" s="5" t="s">
        <v>26</v>
      </c>
      <c r="F1" s="6">
        <v>11</v>
      </c>
      <c r="G1" s="6" t="s">
        <v>18</v>
      </c>
    </row>
    <row r="2" spans="1:11" x14ac:dyDescent="0.3">
      <c r="A2" s="6" t="s">
        <v>6</v>
      </c>
      <c r="B2" s="6">
        <v>48</v>
      </c>
      <c r="E2" s="5" t="s">
        <v>16</v>
      </c>
      <c r="F2" s="43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11</v>
      </c>
    </row>
    <row r="4" spans="1:11" x14ac:dyDescent="0.3">
      <c r="A4" s="6" t="s">
        <v>8</v>
      </c>
      <c r="B4" s="6">
        <v>4</v>
      </c>
    </row>
    <row r="5" spans="1:11" x14ac:dyDescent="0.3">
      <c r="A5" s="28" t="s">
        <v>1</v>
      </c>
      <c r="B5" s="29">
        <f>B3*B4</f>
        <v>44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440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176</v>
      </c>
    </row>
    <row r="11" spans="1:11" x14ac:dyDescent="0.3">
      <c r="A11" s="1">
        <v>45204</v>
      </c>
      <c r="B11" s="12"/>
      <c r="C11" s="12"/>
      <c r="D11" s="12"/>
      <c r="E11" s="228" t="s">
        <v>12</v>
      </c>
      <c r="F11" s="228"/>
      <c r="G11" s="228"/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31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47</v>
      </c>
      <c r="B13" s="6" t="s">
        <v>25</v>
      </c>
      <c r="C13" s="9"/>
      <c r="D13" s="16">
        <v>11</v>
      </c>
      <c r="E13" s="31">
        <f>(C13*$B$2)+D13</f>
        <v>11</v>
      </c>
      <c r="F13" s="31">
        <f>E13*$B$4*$B$6</f>
        <v>440</v>
      </c>
      <c r="G13" s="31">
        <f t="shared" ref="G13:G18" si="0">F13*$B$8</f>
        <v>176</v>
      </c>
      <c r="H13" s="10">
        <v>6</v>
      </c>
      <c r="I13" s="20">
        <v>520</v>
      </c>
      <c r="J13" s="33">
        <f>I13-G13-H13</f>
        <v>338</v>
      </c>
      <c r="K13" s="24"/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 t="shared" ref="F14:F18" si="1">E14*$B$4*$B$6</f>
        <v>0</v>
      </c>
      <c r="G14" s="31">
        <f t="shared" si="0"/>
        <v>0</v>
      </c>
      <c r="H14" s="10"/>
      <c r="I14" s="21"/>
      <c r="J14" s="33">
        <f t="shared" ref="J14:J18" si="2">I14-G14-H14</f>
        <v>0</v>
      </c>
      <c r="K14" s="24"/>
    </row>
    <row r="15" spans="1:11" x14ac:dyDescent="0.3">
      <c r="A15" s="6"/>
      <c r="B15" s="6"/>
      <c r="C15" s="9"/>
      <c r="D15" s="16"/>
      <c r="E15" s="31">
        <f t="shared" ref="E15:E18" si="3">(C15*$B$2)+D15</f>
        <v>0</v>
      </c>
      <c r="F15" s="31">
        <f t="shared" si="1"/>
        <v>0</v>
      </c>
      <c r="G15" s="31">
        <f t="shared" si="0"/>
        <v>0</v>
      </c>
      <c r="H15" s="10"/>
      <c r="I15" s="21"/>
      <c r="J15" s="33">
        <f t="shared" si="2"/>
        <v>0</v>
      </c>
      <c r="K15" s="24"/>
    </row>
    <row r="16" spans="1:11" x14ac:dyDescent="0.3">
      <c r="A16" s="6"/>
      <c r="B16" s="6"/>
      <c r="C16" s="9"/>
      <c r="D16" s="16"/>
      <c r="E16" s="31">
        <f t="shared" si="3"/>
        <v>0</v>
      </c>
      <c r="F16" s="31">
        <f t="shared" si="1"/>
        <v>0</v>
      </c>
      <c r="G16" s="31">
        <f t="shared" si="0"/>
        <v>0</v>
      </c>
      <c r="H16" s="10"/>
      <c r="I16" s="21"/>
      <c r="J16" s="33">
        <f t="shared" si="2"/>
        <v>0</v>
      </c>
      <c r="K16" s="24"/>
    </row>
    <row r="17" spans="1:11" x14ac:dyDescent="0.3">
      <c r="A17" s="6"/>
      <c r="B17" s="6"/>
      <c r="C17" s="9"/>
      <c r="D17" s="16"/>
      <c r="E17" s="31">
        <f t="shared" si="3"/>
        <v>0</v>
      </c>
      <c r="F17" s="31">
        <f t="shared" si="1"/>
        <v>0</v>
      </c>
      <c r="G17" s="31">
        <f t="shared" si="0"/>
        <v>0</v>
      </c>
      <c r="H17" s="10"/>
      <c r="I17" s="21"/>
      <c r="J17" s="33">
        <f t="shared" si="2"/>
        <v>0</v>
      </c>
      <c r="K17" s="24"/>
    </row>
    <row r="18" spans="1:11" x14ac:dyDescent="0.3">
      <c r="A18" s="6"/>
      <c r="B18" s="6"/>
      <c r="C18" s="9"/>
      <c r="D18" s="16"/>
      <c r="E18" s="31">
        <f t="shared" si="3"/>
        <v>0</v>
      </c>
      <c r="F18" s="31">
        <f t="shared" si="1"/>
        <v>0</v>
      </c>
      <c r="G18" s="31">
        <f t="shared" si="0"/>
        <v>0</v>
      </c>
      <c r="H18" s="10"/>
      <c r="I18" s="21"/>
      <c r="J18" s="33">
        <f t="shared" si="2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11</v>
      </c>
      <c r="E19" s="32">
        <f>SUM(E13:E18)</f>
        <v>11</v>
      </c>
      <c r="F19" s="32">
        <f>SUM(F13:F18)</f>
        <v>440</v>
      </c>
      <c r="G19" s="32">
        <f>SUM(G13:G18)</f>
        <v>176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176</v>
      </c>
      <c r="H23" s="27">
        <f t="shared" ref="H23:J23" si="4">SUMIF($B$13:$B$18,$F$23,H13:H18)</f>
        <v>6</v>
      </c>
      <c r="I23" s="27">
        <f t="shared" si="4"/>
        <v>520</v>
      </c>
      <c r="J23" s="27">
        <f t="shared" si="4"/>
        <v>338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176</v>
      </c>
      <c r="H25" s="7">
        <f t="shared" ref="H25:J25" si="6">SUM(H23:H24)</f>
        <v>6</v>
      </c>
      <c r="I25" s="7">
        <f t="shared" si="6"/>
        <v>520</v>
      </c>
      <c r="J25" s="7">
        <f t="shared" si="6"/>
        <v>338</v>
      </c>
    </row>
  </sheetData>
  <mergeCells count="1">
    <mergeCell ref="E11:G11"/>
  </mergeCells>
  <pageMargins left="0.25" right="0.25" top="0.75" bottom="0.75" header="0.3" footer="0.3"/>
  <pageSetup scale="85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23D1D-1526-41A2-BB26-F57A31593EB8}">
  <sheetPr>
    <pageSetUpPr fitToPage="1"/>
  </sheetPr>
  <dimension ref="A1:K25"/>
  <sheetViews>
    <sheetView showGridLines="0" topLeftCell="A4" zoomScaleNormal="100" workbookViewId="0">
      <selection activeCell="B26" sqref="B26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34.5546875" bestFit="1" customWidth="1"/>
  </cols>
  <sheetData>
    <row r="1" spans="1:11" x14ac:dyDescent="0.3">
      <c r="A1" s="28" t="s">
        <v>3</v>
      </c>
      <c r="B1" s="113">
        <f>C19+(D19/B2)</f>
        <v>1.5357142857142858</v>
      </c>
      <c r="C1" s="116">
        <v>2</v>
      </c>
      <c r="E1" s="5" t="s">
        <v>26</v>
      </c>
      <c r="F1" s="6">
        <v>215</v>
      </c>
      <c r="G1" s="6" t="s">
        <v>18</v>
      </c>
    </row>
    <row r="2" spans="1:11" x14ac:dyDescent="0.3">
      <c r="A2" s="6" t="s">
        <v>6</v>
      </c>
      <c r="B2" s="6">
        <v>140</v>
      </c>
      <c r="E2" s="5" t="s">
        <v>16</v>
      </c>
      <c r="F2" s="43">
        <f>F1-B5</f>
        <v>0</v>
      </c>
      <c r="G2" s="6" t="s">
        <v>18</v>
      </c>
    </row>
    <row r="3" spans="1:11" x14ac:dyDescent="0.3">
      <c r="A3" s="93" t="s">
        <v>0</v>
      </c>
      <c r="B3" s="76">
        <v>0</v>
      </c>
      <c r="C3" s="46" t="s">
        <v>36</v>
      </c>
    </row>
    <row r="4" spans="1:11" x14ac:dyDescent="0.3">
      <c r="A4" s="96" t="s">
        <v>8</v>
      </c>
      <c r="B4" s="96">
        <v>0</v>
      </c>
    </row>
    <row r="5" spans="1:11" x14ac:dyDescent="0.3">
      <c r="A5" s="28" t="s">
        <v>1</v>
      </c>
      <c r="B5" s="29">
        <f>+D19</f>
        <v>215</v>
      </c>
      <c r="E5" s="48"/>
    </row>
    <row r="6" spans="1:11" x14ac:dyDescent="0.3">
      <c r="A6" s="6" t="s">
        <v>9</v>
      </c>
      <c r="B6" s="6">
        <v>10</v>
      </c>
      <c r="E6" s="49"/>
    </row>
    <row r="7" spans="1:11" x14ac:dyDescent="0.3">
      <c r="A7" s="28" t="s">
        <v>2</v>
      </c>
      <c r="B7" s="29">
        <f>B5*B6</f>
        <v>2150</v>
      </c>
      <c r="E7" s="50"/>
      <c r="F7" s="47"/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860</v>
      </c>
    </row>
    <row r="11" spans="1:11" x14ac:dyDescent="0.3">
      <c r="A11" s="1">
        <v>45475</v>
      </c>
      <c r="B11" s="12"/>
      <c r="C11" s="12"/>
      <c r="D11" s="12"/>
      <c r="E11" s="228"/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31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85" t="s">
        <v>103</v>
      </c>
      <c r="B13" s="6" t="s">
        <v>25</v>
      </c>
      <c r="C13" s="9"/>
      <c r="D13" s="16">
        <f>140+75</f>
        <v>215</v>
      </c>
      <c r="E13" s="31">
        <f>(C13*$B$2)+D13</f>
        <v>215</v>
      </c>
      <c r="F13" s="31">
        <f>E13*$B$6</f>
        <v>2150</v>
      </c>
      <c r="G13" s="31">
        <f>F13*$B$8</f>
        <v>860</v>
      </c>
      <c r="H13" s="10">
        <v>5</v>
      </c>
      <c r="I13" s="20">
        <f>5*180</f>
        <v>900</v>
      </c>
      <c r="J13" s="33">
        <f>I13-G13-H13</f>
        <v>35</v>
      </c>
      <c r="K13" s="24" t="s">
        <v>19</v>
      </c>
    </row>
    <row r="14" spans="1:11" x14ac:dyDescent="0.3">
      <c r="A14" s="85"/>
      <c r="B14" s="6"/>
      <c r="C14" s="9"/>
      <c r="D14" s="16"/>
      <c r="E14" s="31">
        <f>(C14*$B$2)+D14</f>
        <v>0</v>
      </c>
      <c r="F14" s="31">
        <v>0</v>
      </c>
      <c r="G14" s="31">
        <f t="shared" ref="G14:G18" si="0">F14*$B$8</f>
        <v>0</v>
      </c>
      <c r="H14" s="10"/>
      <c r="I14" s="21"/>
      <c r="J14" s="33">
        <f>I14-G14-H14</f>
        <v>0</v>
      </c>
      <c r="K14" s="24"/>
    </row>
    <row r="15" spans="1:11" x14ac:dyDescent="0.3">
      <c r="A15" s="85"/>
      <c r="B15" s="6"/>
      <c r="C15" s="9"/>
      <c r="D15" s="16"/>
      <c r="E15" s="31">
        <f t="shared" ref="E15:E18" si="1">(C15*$B$2)+D15</f>
        <v>0</v>
      </c>
      <c r="F15" s="31">
        <f t="shared" ref="F15:F18" si="2">E15*$B$4*$B$6</f>
        <v>0</v>
      </c>
      <c r="G15" s="31">
        <f t="shared" si="0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85"/>
      <c r="B16" s="6"/>
      <c r="C16" s="9"/>
      <c r="D16" s="16"/>
      <c r="E16" s="31">
        <f>(C16*$B$2)+D16</f>
        <v>0</v>
      </c>
      <c r="F16" s="31">
        <f t="shared" si="2"/>
        <v>0</v>
      </c>
      <c r="G16" s="31">
        <f t="shared" si="0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1"/>
        <v>0</v>
      </c>
      <c r="F17" s="31">
        <f t="shared" si="2"/>
        <v>0</v>
      </c>
      <c r="G17" s="31">
        <f t="shared" si="0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1"/>
        <v>0</v>
      </c>
      <c r="F18" s="31">
        <f t="shared" si="2"/>
        <v>0</v>
      </c>
      <c r="G18" s="31">
        <f t="shared" si="0"/>
        <v>0</v>
      </c>
      <c r="H18" s="6"/>
      <c r="I18" s="7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215</v>
      </c>
      <c r="E19" s="32">
        <f>SUM(E13:E18)</f>
        <v>215</v>
      </c>
      <c r="F19" s="32">
        <f>SUM(F13:F18)</f>
        <v>2150</v>
      </c>
      <c r="G19" s="32">
        <f>SUM(G13:G18)</f>
        <v>860</v>
      </c>
      <c r="H19" s="5"/>
      <c r="I19" s="7"/>
      <c r="J19" s="32">
        <f t="shared" ref="J19" si="4">SUM(J13:J18)</f>
        <v>35</v>
      </c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+G19</f>
        <v>860</v>
      </c>
      <c r="H23" s="27">
        <f t="shared" ref="H23:I23" si="5">SUMIF($B$13:$B$18,$F$23,H13:H18)</f>
        <v>5</v>
      </c>
      <c r="I23" s="27">
        <f t="shared" si="5"/>
        <v>900</v>
      </c>
      <c r="J23" s="27">
        <f>+J19</f>
        <v>35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6">SUMIF($B$13:$B$18,$F$24,H13:H18)</f>
        <v>0</v>
      </c>
      <c r="I24" s="27">
        <f t="shared" si="6"/>
        <v>0</v>
      </c>
      <c r="J24" s="27">
        <f t="shared" si="6"/>
        <v>0</v>
      </c>
    </row>
    <row r="25" spans="1:11" x14ac:dyDescent="0.3">
      <c r="F25" s="8" t="s">
        <v>34</v>
      </c>
      <c r="G25" s="7">
        <f>SUM(G23:G24)</f>
        <v>860</v>
      </c>
      <c r="H25" s="7">
        <f t="shared" ref="H25:J25" si="7">SUM(H23:H24)</f>
        <v>5</v>
      </c>
      <c r="I25" s="7">
        <f t="shared" si="7"/>
        <v>900</v>
      </c>
      <c r="J25" s="7">
        <f t="shared" si="7"/>
        <v>35</v>
      </c>
    </row>
  </sheetData>
  <mergeCells count="1">
    <mergeCell ref="E11:G11"/>
  </mergeCells>
  <pageMargins left="0.25" right="0.25" top="0.75" bottom="0.75" header="0.3" footer="0.3"/>
  <pageSetup scale="89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C9F05-4B4F-4CD4-912C-AF4E5353CAC9}">
  <sheetPr>
    <pageSetUpPr fitToPage="1"/>
  </sheetPr>
  <dimension ref="A1:K25"/>
  <sheetViews>
    <sheetView showGridLines="0" zoomScaleNormal="100" workbookViewId="0">
      <selection activeCell="I7" sqref="I7"/>
    </sheetView>
  </sheetViews>
  <sheetFormatPr defaultRowHeight="14.4" x14ac:dyDescent="0.3"/>
  <cols>
    <col min="1" max="1" width="32.664062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1.0283333333333333</v>
      </c>
      <c r="C1" s="69">
        <v>1</v>
      </c>
      <c r="E1" s="5" t="s">
        <v>26</v>
      </c>
      <c r="F1" s="6">
        <v>50</v>
      </c>
      <c r="G1" s="6" t="s">
        <v>18</v>
      </c>
    </row>
    <row r="2" spans="1:11" x14ac:dyDescent="0.3">
      <c r="A2" s="6" t="s">
        <v>6</v>
      </c>
      <c r="B2" s="6">
        <v>50</v>
      </c>
      <c r="E2" s="5" t="s">
        <v>16</v>
      </c>
      <c r="F2" s="165">
        <f>F1-B5</f>
        <v>-1.4166666666666643</v>
      </c>
      <c r="G2" s="6" t="s">
        <v>18</v>
      </c>
    </row>
    <row r="3" spans="1:11" x14ac:dyDescent="0.3">
      <c r="A3" s="28" t="s">
        <v>125</v>
      </c>
      <c r="B3" s="29" t="s">
        <v>82</v>
      </c>
    </row>
    <row r="4" spans="1:11" x14ac:dyDescent="0.3">
      <c r="A4" s="6" t="s">
        <v>8</v>
      </c>
      <c r="B4" s="6">
        <v>0</v>
      </c>
    </row>
    <row r="5" spans="1:11" x14ac:dyDescent="0.3">
      <c r="A5" s="28" t="s">
        <v>126</v>
      </c>
      <c r="B5" s="160">
        <f>B1*B2</f>
        <v>51.416666666666664</v>
      </c>
      <c r="C5" s="69">
        <v>51</v>
      </c>
    </row>
    <row r="6" spans="1:11" x14ac:dyDescent="0.3">
      <c r="A6" s="6" t="s">
        <v>9</v>
      </c>
      <c r="B6" s="6">
        <v>12</v>
      </c>
    </row>
    <row r="7" spans="1:11" x14ac:dyDescent="0.3">
      <c r="A7" s="28" t="s">
        <v>2</v>
      </c>
      <c r="B7" s="29">
        <f>B5*B6</f>
        <v>617</v>
      </c>
    </row>
    <row r="8" spans="1:11" x14ac:dyDescent="0.3">
      <c r="A8" s="6" t="s">
        <v>7</v>
      </c>
      <c r="B8" s="6">
        <v>0.1</v>
      </c>
      <c r="J8" s="87"/>
    </row>
    <row r="9" spans="1:11" x14ac:dyDescent="0.3">
      <c r="A9" s="28" t="s">
        <v>4</v>
      </c>
      <c r="B9" s="160">
        <f>B7*B8</f>
        <v>61.7</v>
      </c>
    </row>
    <row r="11" spans="1:11" x14ac:dyDescent="0.3">
      <c r="A11" s="1">
        <v>45653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108</v>
      </c>
      <c r="B13" s="6" t="s">
        <v>25</v>
      </c>
      <c r="C13" s="9">
        <v>0</v>
      </c>
      <c r="D13" s="61">
        <f>51+0.416666666666667</f>
        <v>51.416666666666664</v>
      </c>
      <c r="E13" s="31">
        <f>(C13*$B$2)+D13</f>
        <v>51.416666666666664</v>
      </c>
      <c r="F13" s="31">
        <f>E13*$B$6</f>
        <v>617</v>
      </c>
      <c r="G13" s="86">
        <f>F13*$B$8</f>
        <v>61.7</v>
      </c>
      <c r="H13" s="10">
        <v>2</v>
      </c>
      <c r="I13" s="83">
        <v>1078.2</v>
      </c>
      <c r="J13" s="82">
        <f>I13-G13-H13</f>
        <v>1014.5</v>
      </c>
      <c r="K13" s="24" t="s">
        <v>52</v>
      </c>
    </row>
    <row r="14" spans="1:11" x14ac:dyDescent="0.3">
      <c r="A14" s="6"/>
      <c r="B14" s="6"/>
      <c r="C14" s="9"/>
      <c r="D14" s="61"/>
      <c r="E14" s="31">
        <f t="shared" ref="E14:E18" si="0">(C14*$B$2)+D14</f>
        <v>0</v>
      </c>
      <c r="F14" s="31">
        <f t="shared" ref="F14:F18" si="1">E14*$B$4*$B$6</f>
        <v>0</v>
      </c>
      <c r="G14" s="31">
        <f t="shared" ref="G14:G18" si="2">F14*$B$8</f>
        <v>0</v>
      </c>
      <c r="H14" s="10"/>
      <c r="I14" s="21"/>
      <c r="J14" s="33">
        <f>I14-G14-H14</f>
        <v>0</v>
      </c>
      <c r="K14" s="24"/>
    </row>
    <row r="15" spans="1:11" x14ac:dyDescent="0.3">
      <c r="A15" s="6"/>
      <c r="B15" s="6"/>
      <c r="C15" s="9"/>
      <c r="D15" s="61"/>
      <c r="E15" s="31">
        <f t="shared" si="0"/>
        <v>0</v>
      </c>
      <c r="F15" s="31">
        <f t="shared" si="1"/>
        <v>0</v>
      </c>
      <c r="G15" s="31">
        <f t="shared" si="2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61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61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61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64">
        <f>SUM(D13:D18)</f>
        <v>51.416666666666664</v>
      </c>
      <c r="E19" s="150">
        <f>SUM(E13:E18)</f>
        <v>51.416666666666664</v>
      </c>
      <c r="F19" s="150">
        <f>SUM(F13:F18)</f>
        <v>617</v>
      </c>
      <c r="G19" s="150">
        <f>SUM(G13:G18)</f>
        <v>61.7</v>
      </c>
      <c r="H19" s="11"/>
      <c r="I19" s="22"/>
      <c r="J19" s="34"/>
      <c r="K19" s="25"/>
    </row>
    <row r="20" spans="1:11" x14ac:dyDescent="0.3">
      <c r="E20" s="4">
        <f>E19/F1</f>
        <v>1.0283333333333333</v>
      </c>
    </row>
    <row r="21" spans="1:11" x14ac:dyDescent="0.3">
      <c r="E21" s="4"/>
      <c r="G21" s="4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61.7</v>
      </c>
      <c r="H23" s="27">
        <f t="shared" ref="H23:J23" si="4">SUMIF($B$13:$B$18,$F$23,H13:H18)</f>
        <v>2</v>
      </c>
      <c r="I23" s="27">
        <f t="shared" si="4"/>
        <v>1078.2</v>
      </c>
      <c r="J23" s="27">
        <f t="shared" si="4"/>
        <v>1014.5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61.7</v>
      </c>
      <c r="H25" s="7">
        <f t="shared" ref="H25:J25" si="6">SUM(H23:H24)</f>
        <v>2</v>
      </c>
      <c r="I25" s="7">
        <f t="shared" si="6"/>
        <v>1078.2</v>
      </c>
      <c r="J25" s="7">
        <f t="shared" si="6"/>
        <v>1014.5</v>
      </c>
    </row>
  </sheetData>
  <mergeCells count="1">
    <mergeCell ref="E11:G11"/>
  </mergeCells>
  <pageMargins left="0.7" right="0.7" top="0.75" bottom="0.75" header="0.3" footer="0.3"/>
  <pageSetup scale="7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3971D-2AF6-4D30-AECE-F43CDE83F600}">
  <sheetPr>
    <pageSetUpPr fitToPage="1"/>
  </sheetPr>
  <dimension ref="A1:N25"/>
  <sheetViews>
    <sheetView showGridLines="0" zoomScaleNormal="100" workbookViewId="0">
      <selection activeCell="N15" sqref="N15"/>
    </sheetView>
  </sheetViews>
  <sheetFormatPr defaultRowHeight="14.4" x14ac:dyDescent="0.3"/>
  <cols>
    <col min="1" max="1" width="32.6640625" bestFit="1" customWidth="1"/>
    <col min="7" max="7" width="10.33203125" customWidth="1"/>
    <col min="9" max="9" width="16.5546875" customWidth="1"/>
    <col min="10" max="10" width="18.33203125" customWidth="1"/>
    <col min="11" max="11" width="9.88671875" bestFit="1" customWidth="1"/>
    <col min="12" max="12" width="25.44140625" customWidth="1"/>
  </cols>
  <sheetData>
    <row r="1" spans="1:14" x14ac:dyDescent="0.3">
      <c r="A1" s="28" t="s">
        <v>3</v>
      </c>
      <c r="B1" s="28">
        <f>C19+(D19/B2)</f>
        <v>4.7</v>
      </c>
      <c r="C1" s="69">
        <v>5</v>
      </c>
      <c r="E1" s="5" t="s">
        <v>26</v>
      </c>
      <c r="F1" s="6">
        <v>470</v>
      </c>
      <c r="G1" s="6" t="s">
        <v>18</v>
      </c>
    </row>
    <row r="2" spans="1:14" x14ac:dyDescent="0.3">
      <c r="A2" s="6" t="s">
        <v>6</v>
      </c>
      <c r="B2" s="6">
        <v>100</v>
      </c>
      <c r="E2" s="5" t="s">
        <v>151</v>
      </c>
      <c r="F2" s="43">
        <f>B3</f>
        <v>470</v>
      </c>
      <c r="G2" s="6" t="s">
        <v>18</v>
      </c>
    </row>
    <row r="3" spans="1:14" x14ac:dyDescent="0.3">
      <c r="A3" s="28" t="s">
        <v>46</v>
      </c>
      <c r="B3" s="29">
        <f>+B1*B2</f>
        <v>470</v>
      </c>
      <c r="E3" s="5" t="s">
        <v>16</v>
      </c>
      <c r="F3" s="43">
        <f>F1-B5</f>
        <v>0</v>
      </c>
      <c r="G3" s="6" t="s">
        <v>18</v>
      </c>
    </row>
    <row r="4" spans="1:14" x14ac:dyDescent="0.3">
      <c r="A4" s="6" t="s">
        <v>8</v>
      </c>
      <c r="B4" s="6">
        <v>1</v>
      </c>
      <c r="I4" s="81" t="s">
        <v>185</v>
      </c>
    </row>
    <row r="5" spans="1:14" x14ac:dyDescent="0.3">
      <c r="A5" s="28" t="s">
        <v>45</v>
      </c>
      <c r="B5" s="29">
        <f>B1*B2</f>
        <v>470</v>
      </c>
      <c r="I5" s="81" t="s">
        <v>186</v>
      </c>
    </row>
    <row r="6" spans="1:14" x14ac:dyDescent="0.3">
      <c r="A6" s="6" t="s">
        <v>9</v>
      </c>
      <c r="B6" s="6">
        <v>12</v>
      </c>
      <c r="J6">
        <f>46.5-15.5</f>
        <v>31</v>
      </c>
      <c r="L6">
        <f>95.1+161.8</f>
        <v>256.89999999999998</v>
      </c>
    </row>
    <row r="7" spans="1:14" x14ac:dyDescent="0.3">
      <c r="A7" s="28" t="s">
        <v>2</v>
      </c>
      <c r="B7" s="29">
        <f>B5*B6</f>
        <v>5640</v>
      </c>
    </row>
    <row r="8" spans="1:14" x14ac:dyDescent="0.3">
      <c r="A8" s="6" t="s">
        <v>7</v>
      </c>
      <c r="B8" s="6">
        <v>0.1105</v>
      </c>
      <c r="C8" t="s">
        <v>66</v>
      </c>
      <c r="J8" s="87"/>
      <c r="N8">
        <f>97.625-95.1</f>
        <v>2.5250000000000057</v>
      </c>
    </row>
    <row r="9" spans="1:14" x14ac:dyDescent="0.3">
      <c r="A9" s="28" t="s">
        <v>4</v>
      </c>
      <c r="B9" s="29">
        <f>B7*B8</f>
        <v>623.22</v>
      </c>
      <c r="G9" s="180"/>
      <c r="J9" s="87"/>
      <c r="N9">
        <f>95.1+161.8</f>
        <v>256.89999999999998</v>
      </c>
    </row>
    <row r="11" spans="1:14" x14ac:dyDescent="0.3">
      <c r="A11" s="1">
        <v>45902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213" t="s">
        <v>183</v>
      </c>
      <c r="J11" s="19" t="s">
        <v>13</v>
      </c>
      <c r="K11" s="30" t="s">
        <v>15</v>
      </c>
      <c r="L11" s="18" t="s">
        <v>17</v>
      </c>
    </row>
    <row r="12" spans="1:14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8" t="s">
        <v>4</v>
      </c>
      <c r="J12" s="19" t="s">
        <v>4</v>
      </c>
      <c r="K12" s="30" t="s">
        <v>4</v>
      </c>
      <c r="L12" s="23"/>
      <c r="N12">
        <f>3+9.5+7</f>
        <v>19.5</v>
      </c>
    </row>
    <row r="13" spans="1:14" x14ac:dyDescent="0.3">
      <c r="A13" s="6" t="s">
        <v>174</v>
      </c>
      <c r="B13" s="6" t="s">
        <v>25</v>
      </c>
      <c r="C13" s="9"/>
      <c r="D13" s="16">
        <v>470</v>
      </c>
      <c r="E13" s="31">
        <f>(C13*$B$2)+D13</f>
        <v>470</v>
      </c>
      <c r="F13" s="31">
        <f>E13*$B$6</f>
        <v>5640</v>
      </c>
      <c r="G13" s="86">
        <f>+F13*B8</f>
        <v>623.22</v>
      </c>
      <c r="H13" s="10"/>
      <c r="I13" s="208">
        <v>6</v>
      </c>
      <c r="J13" s="21">
        <f>+'Grote 50-pack'!K19</f>
        <v>726.80000000000018</v>
      </c>
      <c r="K13" s="82">
        <f>J13-G13-H13-I13</f>
        <v>97.580000000000155</v>
      </c>
      <c r="L13" s="24" t="s">
        <v>52</v>
      </c>
      <c r="N13">
        <v>97.625</v>
      </c>
    </row>
    <row r="14" spans="1:14" x14ac:dyDescent="0.3">
      <c r="A14" s="6"/>
      <c r="B14" s="6"/>
      <c r="C14" s="9"/>
      <c r="D14" s="16"/>
      <c r="E14" s="31">
        <f t="shared" ref="E14:E18" si="0">(C14*$B$2)+D14</f>
        <v>0</v>
      </c>
      <c r="F14" s="31">
        <f t="shared" ref="F14:F18" si="1">E14*$B$4*$B$6</f>
        <v>0</v>
      </c>
      <c r="G14" s="86">
        <f>+F14*E8</f>
        <v>0</v>
      </c>
      <c r="H14" s="10"/>
      <c r="I14" s="208"/>
      <c r="J14" s="83"/>
      <c r="K14" s="82"/>
      <c r="L14" s="24"/>
      <c r="N14">
        <f>+N13-95.1</f>
        <v>2.5250000000000057</v>
      </c>
    </row>
    <row r="15" spans="1:14" x14ac:dyDescent="0.3">
      <c r="A15" s="6"/>
      <c r="B15" s="6"/>
      <c r="C15" s="9"/>
      <c r="D15" s="16"/>
      <c r="E15" s="31">
        <f t="shared" si="0"/>
        <v>0</v>
      </c>
      <c r="F15" s="31">
        <f t="shared" si="1"/>
        <v>0</v>
      </c>
      <c r="G15" s="31">
        <f t="shared" ref="G15:G18" si="2">F15*$B$8</f>
        <v>0</v>
      </c>
      <c r="H15" s="10"/>
      <c r="I15" s="208"/>
      <c r="J15" s="21"/>
      <c r="K15" s="33">
        <f>J15-G15-H15</f>
        <v>0</v>
      </c>
      <c r="L15" s="24"/>
    </row>
    <row r="16" spans="1:14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08"/>
      <c r="J16" s="21"/>
      <c r="K16" s="33">
        <f>J16-G16-H16</f>
        <v>0</v>
      </c>
      <c r="L16" s="24"/>
    </row>
    <row r="17" spans="1:13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08"/>
      <c r="J17" s="21"/>
      <c r="K17" s="33">
        <f>J17-G17-H17</f>
        <v>0</v>
      </c>
      <c r="L17" s="24"/>
    </row>
    <row r="18" spans="1:13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08"/>
      <c r="J18" s="21"/>
      <c r="K18" s="33">
        <f>J18-G18-H18</f>
        <v>0</v>
      </c>
      <c r="L18" s="24"/>
      <c r="M18">
        <f>30.5-9</f>
        <v>21.5</v>
      </c>
    </row>
    <row r="19" spans="1:13" x14ac:dyDescent="0.3">
      <c r="A19" s="5" t="s">
        <v>11</v>
      </c>
      <c r="B19" s="6"/>
      <c r="C19" s="7">
        <f>SUM(C13:C18)</f>
        <v>0</v>
      </c>
      <c r="D19" s="17">
        <f>SUM(D13:D18)</f>
        <v>470</v>
      </c>
      <c r="E19" s="32">
        <f>SUM(E13:E18)</f>
        <v>470</v>
      </c>
      <c r="F19" s="32">
        <f>SUM(F13:F18)</f>
        <v>5640</v>
      </c>
      <c r="G19" s="32">
        <f>SUM(G13:G18)</f>
        <v>623.22</v>
      </c>
      <c r="H19" s="32">
        <f t="shared" ref="H19:K19" si="3">SUM(H13:H18)</f>
        <v>0</v>
      </c>
      <c r="I19" s="32">
        <f t="shared" si="3"/>
        <v>6</v>
      </c>
      <c r="J19" s="140">
        <f t="shared" si="3"/>
        <v>726.80000000000018</v>
      </c>
      <c r="K19" s="140">
        <f t="shared" si="3"/>
        <v>97.580000000000155</v>
      </c>
      <c r="L19" s="25"/>
    </row>
    <row r="20" spans="1:13" x14ac:dyDescent="0.3">
      <c r="E20" s="4">
        <f>E19/F1</f>
        <v>1</v>
      </c>
      <c r="K20" s="206"/>
    </row>
    <row r="21" spans="1:13" x14ac:dyDescent="0.3">
      <c r="E21" s="4"/>
      <c r="G21" s="44"/>
    </row>
    <row r="22" spans="1:13" x14ac:dyDescent="0.3">
      <c r="E22" s="4"/>
      <c r="F22" s="51" t="s">
        <v>12</v>
      </c>
      <c r="G22" s="51" t="s">
        <v>4</v>
      </c>
      <c r="H22" s="51" t="s">
        <v>14</v>
      </c>
      <c r="I22" s="51" t="s">
        <v>183</v>
      </c>
      <c r="J22" s="51" t="s">
        <v>13</v>
      </c>
      <c r="K22" s="51" t="s">
        <v>15</v>
      </c>
    </row>
    <row r="23" spans="1:13" x14ac:dyDescent="0.3">
      <c r="F23" s="26" t="s">
        <v>25</v>
      </c>
      <c r="G23" s="27">
        <f>SUMIF($B$13:$B$18,$F$23,G13:G18)</f>
        <v>623.22</v>
      </c>
      <c r="H23" s="27">
        <f t="shared" ref="H23:K23" si="4">SUMIF($B$13:$B$18,$F$23,H13:H18)</f>
        <v>0</v>
      </c>
      <c r="I23" s="27">
        <f t="shared" si="4"/>
        <v>6</v>
      </c>
      <c r="J23" s="27">
        <f t="shared" si="4"/>
        <v>726.80000000000018</v>
      </c>
      <c r="K23" s="27">
        <f t="shared" si="4"/>
        <v>97.580000000000155</v>
      </c>
    </row>
    <row r="24" spans="1:13" x14ac:dyDescent="0.3">
      <c r="F24" s="14" t="s">
        <v>27</v>
      </c>
      <c r="G24" s="27">
        <f>SUMIF($B$13:$B$18,$F$24,G13:G18)</f>
        <v>0</v>
      </c>
      <c r="H24" s="27">
        <f t="shared" ref="H24:K24" si="5">SUMIF($B$13:$B$18,$F$24,H13:H18)</f>
        <v>0</v>
      </c>
      <c r="I24" s="27">
        <f t="shared" si="5"/>
        <v>0</v>
      </c>
      <c r="J24" s="27">
        <f t="shared" si="5"/>
        <v>0</v>
      </c>
      <c r="K24" s="27">
        <f t="shared" si="5"/>
        <v>0</v>
      </c>
    </row>
    <row r="25" spans="1:13" x14ac:dyDescent="0.3">
      <c r="F25" s="8" t="s">
        <v>34</v>
      </c>
      <c r="G25" s="7">
        <f>SUM(G23:G24)</f>
        <v>623.22</v>
      </c>
      <c r="H25" s="7">
        <f>SUM(H23:H24)</f>
        <v>0</v>
      </c>
      <c r="I25" s="7">
        <f t="shared" ref="I25:K25" si="6">SUM(I23:I24)</f>
        <v>6</v>
      </c>
      <c r="J25" s="221">
        <f t="shared" si="6"/>
        <v>726.80000000000018</v>
      </c>
      <c r="K25" s="221">
        <f t="shared" si="6"/>
        <v>97.580000000000155</v>
      </c>
    </row>
  </sheetData>
  <mergeCells count="1">
    <mergeCell ref="E11:G11"/>
  </mergeCells>
  <pageMargins left="0.7" right="0.7" top="0.75" bottom="0.75" header="0.3" footer="0.3"/>
  <pageSetup scale="75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21C8F-E90E-4C84-8455-25408A95B2DC}">
  <sheetPr>
    <pageSetUpPr fitToPage="1"/>
  </sheetPr>
  <dimension ref="A1:L25"/>
  <sheetViews>
    <sheetView showGridLines="0" zoomScaleNormal="100" workbookViewId="0">
      <selection activeCell="I29" sqref="I29"/>
    </sheetView>
  </sheetViews>
  <sheetFormatPr defaultRowHeight="14.4" x14ac:dyDescent="0.3"/>
  <cols>
    <col min="1" max="1" width="32.6640625" bestFit="1" customWidth="1"/>
    <col min="7" max="7" width="10.33203125" customWidth="1"/>
    <col min="9" max="9" width="20.6640625" customWidth="1"/>
    <col min="10" max="10" width="10.6640625" customWidth="1"/>
    <col min="11" max="11" width="28.33203125" customWidth="1"/>
    <col min="12" max="12" width="27.6640625" customWidth="1"/>
  </cols>
  <sheetData>
    <row r="1" spans="1:12" x14ac:dyDescent="0.3">
      <c r="A1" s="28" t="s">
        <v>3</v>
      </c>
      <c r="B1" s="28">
        <f>C19+(D19/B2)</f>
        <v>0.93457943925233644</v>
      </c>
      <c r="C1" s="129">
        <v>1</v>
      </c>
      <c r="E1" s="5" t="s">
        <v>26</v>
      </c>
      <c r="F1" s="27">
        <f>+B3</f>
        <v>100</v>
      </c>
      <c r="G1" s="6" t="s">
        <v>18</v>
      </c>
    </row>
    <row r="2" spans="1:12" x14ac:dyDescent="0.3">
      <c r="A2" s="6" t="s">
        <v>6</v>
      </c>
      <c r="B2" s="6">
        <v>107</v>
      </c>
      <c r="C2" s="47"/>
      <c r="E2" s="5" t="s">
        <v>16</v>
      </c>
      <c r="F2" s="43">
        <f>F1-B3</f>
        <v>0</v>
      </c>
      <c r="G2" s="6" t="s">
        <v>18</v>
      </c>
    </row>
    <row r="3" spans="1:12" x14ac:dyDescent="0.3">
      <c r="A3" s="28" t="s">
        <v>46</v>
      </c>
      <c r="B3" s="29">
        <f>+B1*B2</f>
        <v>100</v>
      </c>
      <c r="C3" s="126"/>
    </row>
    <row r="4" spans="1:12" x14ac:dyDescent="0.3">
      <c r="A4" s="6" t="s">
        <v>8</v>
      </c>
      <c r="B4" s="96">
        <v>1</v>
      </c>
      <c r="C4" s="47"/>
      <c r="I4" s="81" t="s">
        <v>187</v>
      </c>
    </row>
    <row r="5" spans="1:12" x14ac:dyDescent="0.3">
      <c r="A5" s="28" t="s">
        <v>45</v>
      </c>
      <c r="B5" s="76" t="s">
        <v>82</v>
      </c>
      <c r="C5" s="47"/>
      <c r="I5" s="81">
        <v>99180</v>
      </c>
    </row>
    <row r="6" spans="1:12" x14ac:dyDescent="0.3">
      <c r="A6" s="6" t="s">
        <v>106</v>
      </c>
      <c r="B6" s="6">
        <v>12</v>
      </c>
      <c r="C6" s="47"/>
    </row>
    <row r="7" spans="1:12" x14ac:dyDescent="0.3">
      <c r="A7" s="28" t="s">
        <v>105</v>
      </c>
      <c r="B7" s="29">
        <f>B3*B6</f>
        <v>1200</v>
      </c>
      <c r="C7" s="47"/>
      <c r="K7" s="215"/>
    </row>
    <row r="8" spans="1:12" x14ac:dyDescent="0.3">
      <c r="A8" s="6" t="s">
        <v>7</v>
      </c>
      <c r="B8" s="6">
        <f>((212+216)/2)/1000</f>
        <v>0.214</v>
      </c>
      <c r="J8" s="87"/>
    </row>
    <row r="9" spans="1:12" x14ac:dyDescent="0.3">
      <c r="A9" s="28" t="s">
        <v>4</v>
      </c>
      <c r="B9" s="152">
        <f>B7*B8</f>
        <v>256.8</v>
      </c>
      <c r="C9" s="131"/>
    </row>
    <row r="11" spans="1:12" x14ac:dyDescent="0.3">
      <c r="A11" s="1">
        <v>45904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213" t="s">
        <v>183</v>
      </c>
      <c r="J11" s="19" t="s">
        <v>13</v>
      </c>
      <c r="K11" s="30" t="s">
        <v>15</v>
      </c>
      <c r="L11" s="18" t="s">
        <v>17</v>
      </c>
    </row>
    <row r="12" spans="1:12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8" t="s">
        <v>4</v>
      </c>
      <c r="J12" s="19" t="s">
        <v>4</v>
      </c>
      <c r="K12" s="30" t="s">
        <v>4</v>
      </c>
      <c r="L12" s="23"/>
    </row>
    <row r="13" spans="1:12" x14ac:dyDescent="0.3">
      <c r="A13" s="6" t="s">
        <v>174</v>
      </c>
      <c r="B13" s="6" t="s">
        <v>25</v>
      </c>
      <c r="C13" s="9"/>
      <c r="D13" s="16">
        <v>37</v>
      </c>
      <c r="E13" s="31">
        <f t="shared" ref="E13:E18" si="0">(C13*$B$2)+D13</f>
        <v>37</v>
      </c>
      <c r="F13" s="31">
        <f>E13*$B$6</f>
        <v>444</v>
      </c>
      <c r="G13" s="86">
        <v>95.7</v>
      </c>
      <c r="H13" s="10"/>
      <c r="I13" s="214">
        <v>1.5</v>
      </c>
      <c r="J13" s="92">
        <f>+'Grote 12-pack'!K13</f>
        <v>97.580000000000155</v>
      </c>
      <c r="K13" s="82">
        <f>J13-G13-H13-I13</f>
        <v>0.38000000000015177</v>
      </c>
      <c r="L13" s="2" t="s">
        <v>19</v>
      </c>
    </row>
    <row r="14" spans="1:12" x14ac:dyDescent="0.3">
      <c r="A14" s="6" t="s">
        <v>182</v>
      </c>
      <c r="B14" s="6" t="s">
        <v>25</v>
      </c>
      <c r="C14" s="9"/>
      <c r="D14" s="16">
        <v>63</v>
      </c>
      <c r="E14" s="31">
        <f t="shared" si="0"/>
        <v>63</v>
      </c>
      <c r="F14" s="31">
        <f t="shared" ref="F14:F18" si="1">E14*$B$4*$B$6</f>
        <v>756</v>
      </c>
      <c r="G14" s="62">
        <v>161.30000000000001</v>
      </c>
      <c r="H14" s="10"/>
      <c r="I14" s="208"/>
      <c r="J14" s="83">
        <v>5040</v>
      </c>
      <c r="K14" s="82">
        <f>J14-G14-H14-I14</f>
        <v>4878.7</v>
      </c>
      <c r="L14" s="24" t="s">
        <v>52</v>
      </c>
    </row>
    <row r="15" spans="1:12" x14ac:dyDescent="0.3">
      <c r="A15" s="6"/>
      <c r="B15" s="6"/>
      <c r="C15" s="9"/>
      <c r="D15" s="16"/>
      <c r="E15" s="31">
        <f t="shared" si="0"/>
        <v>0</v>
      </c>
      <c r="F15" s="31">
        <f t="shared" si="1"/>
        <v>0</v>
      </c>
      <c r="G15" s="31">
        <f t="shared" ref="G15:G18" si="2">F15*$B$8</f>
        <v>0</v>
      </c>
      <c r="H15" s="10"/>
      <c r="I15" s="208"/>
      <c r="J15" s="21"/>
      <c r="K15" s="33">
        <f>J15-G15-H15</f>
        <v>0</v>
      </c>
      <c r="L15" s="24"/>
    </row>
    <row r="16" spans="1:12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08"/>
      <c r="J16" s="21"/>
      <c r="K16" s="33">
        <f>J16-G16-H16</f>
        <v>0</v>
      </c>
      <c r="L16" s="24"/>
    </row>
    <row r="17" spans="1:12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08"/>
      <c r="J17" s="21"/>
      <c r="K17" s="33">
        <f>J17-G17-H17</f>
        <v>0</v>
      </c>
      <c r="L17" s="24"/>
    </row>
    <row r="18" spans="1:12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08"/>
      <c r="J18" s="21"/>
      <c r="K18" s="33">
        <f>J18-G18-H18</f>
        <v>0</v>
      </c>
      <c r="L18" s="24"/>
    </row>
    <row r="19" spans="1:12" x14ac:dyDescent="0.3">
      <c r="A19" s="5" t="s">
        <v>11</v>
      </c>
      <c r="B19" s="6"/>
      <c r="C19" s="7">
        <f>SUM(C13:C18)</f>
        <v>0</v>
      </c>
      <c r="D19" s="17">
        <f>SUM(D13:D18)</f>
        <v>100</v>
      </c>
      <c r="E19" s="32">
        <f>SUM(E13:E18)</f>
        <v>100</v>
      </c>
      <c r="F19" s="32">
        <f>SUM(F13:F18)</f>
        <v>1200</v>
      </c>
      <c r="G19" s="140">
        <f>SUM(G13:G18)</f>
        <v>257</v>
      </c>
      <c r="H19" s="32">
        <f t="shared" ref="H19:K19" si="3">SUM(H13:H18)</f>
        <v>0</v>
      </c>
      <c r="I19" s="140">
        <f t="shared" si="3"/>
        <v>1.5</v>
      </c>
      <c r="J19" s="140">
        <f t="shared" si="3"/>
        <v>5137.58</v>
      </c>
      <c r="K19" s="140">
        <f t="shared" si="3"/>
        <v>4879.08</v>
      </c>
      <c r="L19" s="25"/>
    </row>
    <row r="20" spans="1:12" x14ac:dyDescent="0.3">
      <c r="E20" s="4">
        <f>E19/F1</f>
        <v>1</v>
      </c>
      <c r="K20" s="206"/>
    </row>
    <row r="21" spans="1:12" x14ac:dyDescent="0.3">
      <c r="E21" s="4"/>
      <c r="G21" s="44"/>
    </row>
    <row r="22" spans="1:12" x14ac:dyDescent="0.3">
      <c r="E22" s="4"/>
      <c r="F22" s="51" t="s">
        <v>12</v>
      </c>
      <c r="G22" s="51" t="s">
        <v>4</v>
      </c>
      <c r="H22" s="51" t="s">
        <v>14</v>
      </c>
      <c r="I22" s="51" t="s">
        <v>183</v>
      </c>
      <c r="J22" s="51" t="s">
        <v>13</v>
      </c>
      <c r="K22" s="51" t="s">
        <v>15</v>
      </c>
    </row>
    <row r="23" spans="1:12" x14ac:dyDescent="0.3">
      <c r="F23" s="26" t="s">
        <v>25</v>
      </c>
      <c r="G23" s="27">
        <f>+G14</f>
        <v>161.30000000000001</v>
      </c>
      <c r="H23" s="27">
        <f t="shared" ref="H23:K23" si="4">SUMIF($B$13:$B$18,$F$23,H13:H18)</f>
        <v>0</v>
      </c>
      <c r="I23" s="222">
        <v>1.5</v>
      </c>
      <c r="J23" s="27">
        <f t="shared" si="4"/>
        <v>5137.58</v>
      </c>
      <c r="K23" s="27">
        <f t="shared" si="4"/>
        <v>4879.08</v>
      </c>
      <c r="L23">
        <f>95.7+161.3</f>
        <v>257</v>
      </c>
    </row>
    <row r="24" spans="1:12" x14ac:dyDescent="0.3">
      <c r="F24" s="14" t="s">
        <v>27</v>
      </c>
      <c r="G24" s="27">
        <f>SUMIF($B$13:$B$18,$F$24,G13:G18)</f>
        <v>0</v>
      </c>
      <c r="H24" s="27">
        <f t="shared" ref="H24:K24" si="5">SUMIF($B$13:$B$18,$F$24,H13:H18)</f>
        <v>0</v>
      </c>
      <c r="I24" s="27">
        <f t="shared" si="5"/>
        <v>0</v>
      </c>
      <c r="J24" s="27">
        <f t="shared" si="5"/>
        <v>0</v>
      </c>
      <c r="K24" s="27">
        <f t="shared" si="5"/>
        <v>0</v>
      </c>
    </row>
    <row r="25" spans="1:12" x14ac:dyDescent="0.3">
      <c r="F25" s="8" t="s">
        <v>34</v>
      </c>
      <c r="G25" s="7">
        <f>SUM(G23:G24)</f>
        <v>161.30000000000001</v>
      </c>
      <c r="H25" s="7">
        <f>SUM(H23:H24)</f>
        <v>0</v>
      </c>
      <c r="I25" s="221">
        <f t="shared" ref="I25:K25" si="6">SUM(I23:I24)</f>
        <v>1.5</v>
      </c>
      <c r="J25" s="221">
        <f t="shared" si="6"/>
        <v>5137.58</v>
      </c>
      <c r="K25" s="221">
        <f t="shared" si="6"/>
        <v>4879.08</v>
      </c>
    </row>
  </sheetData>
  <mergeCells count="1">
    <mergeCell ref="E11:G11"/>
  </mergeCells>
  <pageMargins left="0.7" right="0.7" top="0.75" bottom="0.75" header="0.3" footer="0.3"/>
  <pageSetup scale="68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06B-F479-431B-BEA9-07AFE8A9F018}">
  <sheetPr>
    <pageSetUpPr fitToPage="1"/>
  </sheetPr>
  <dimension ref="A1:O94"/>
  <sheetViews>
    <sheetView showGridLines="0" zoomScaleNormal="100" workbookViewId="0">
      <selection activeCell="G18" sqref="G18:G19"/>
    </sheetView>
  </sheetViews>
  <sheetFormatPr defaultRowHeight="14.4" x14ac:dyDescent="0.3"/>
  <cols>
    <col min="1" max="1" width="27.6640625" customWidth="1"/>
    <col min="7" max="7" width="10.33203125" bestFit="1" customWidth="1"/>
    <col min="8" max="8" width="12.5546875" bestFit="1" customWidth="1"/>
    <col min="9" max="9" width="14.109375" bestFit="1" customWidth="1"/>
    <col min="10" max="10" width="12.5546875" bestFit="1" customWidth="1"/>
    <col min="11" max="11" width="17.33203125" bestFit="1" customWidth="1"/>
    <col min="12" max="12" width="25.5546875" customWidth="1"/>
    <col min="13" max="13" width="14.6640625" bestFit="1" customWidth="1"/>
    <col min="16" max="16" width="10.44140625" bestFit="1" customWidth="1"/>
  </cols>
  <sheetData>
    <row r="1" spans="1:15" x14ac:dyDescent="0.3">
      <c r="A1" s="28" t="s">
        <v>3</v>
      </c>
      <c r="B1" s="28">
        <f>C24+(D24/B2)</f>
        <v>10</v>
      </c>
      <c r="C1" s="133">
        <v>10</v>
      </c>
      <c r="E1" s="5" t="s">
        <v>26</v>
      </c>
      <c r="F1" s="6">
        <v>500</v>
      </c>
      <c r="G1" s="6" t="s">
        <v>18</v>
      </c>
    </row>
    <row r="2" spans="1:15" x14ac:dyDescent="0.3">
      <c r="A2" s="6" t="s">
        <v>6</v>
      </c>
      <c r="B2" s="6">
        <v>50</v>
      </c>
      <c r="E2" s="5" t="s">
        <v>16</v>
      </c>
      <c r="F2" s="35">
        <f>F1-B3</f>
        <v>0</v>
      </c>
      <c r="G2" s="6" t="s">
        <v>18</v>
      </c>
      <c r="H2" s="232"/>
      <c r="I2" s="233"/>
      <c r="J2" s="233"/>
      <c r="K2" s="233"/>
      <c r="L2" s="233"/>
      <c r="M2" s="233"/>
    </row>
    <row r="3" spans="1:15" s="136" customFormat="1" x14ac:dyDescent="0.3">
      <c r="A3" s="134" t="s">
        <v>79</v>
      </c>
      <c r="B3" s="135">
        <f>B1*B2</f>
        <v>500</v>
      </c>
      <c r="H3" s="81"/>
      <c r="I3" s="81"/>
      <c r="J3" s="81"/>
      <c r="K3" s="81"/>
      <c r="L3" s="216"/>
      <c r="M3" s="81"/>
      <c r="O3"/>
    </row>
    <row r="4" spans="1:15" x14ac:dyDescent="0.3">
      <c r="A4" s="78" t="s">
        <v>8</v>
      </c>
      <c r="B4" s="80">
        <v>1</v>
      </c>
      <c r="H4" s="81"/>
      <c r="I4" s="81" t="s">
        <v>184</v>
      </c>
      <c r="J4" s="81"/>
      <c r="K4" s="81"/>
      <c r="L4" s="81"/>
      <c r="M4" s="81"/>
      <c r="N4" s="81"/>
      <c r="O4" s="81"/>
    </row>
    <row r="5" spans="1:15" x14ac:dyDescent="0.3">
      <c r="A5" s="79" t="s">
        <v>80</v>
      </c>
      <c r="B5" s="76">
        <f>B3*B4</f>
        <v>500</v>
      </c>
      <c r="H5" s="81"/>
      <c r="I5" s="81">
        <v>99170</v>
      </c>
      <c r="J5" s="81"/>
      <c r="K5" s="81"/>
      <c r="L5" s="81"/>
      <c r="M5" s="81"/>
      <c r="N5" s="81"/>
      <c r="O5" s="81"/>
    </row>
    <row r="6" spans="1:15" x14ac:dyDescent="0.3">
      <c r="A6" s="6" t="s">
        <v>9</v>
      </c>
      <c r="B6" s="6">
        <v>50</v>
      </c>
      <c r="H6" s="81"/>
      <c r="I6" s="81"/>
      <c r="J6" s="81"/>
      <c r="K6" s="81"/>
      <c r="L6" s="81"/>
      <c r="M6" s="81"/>
      <c r="N6" s="81"/>
      <c r="O6" s="81"/>
    </row>
    <row r="7" spans="1:15" x14ac:dyDescent="0.3">
      <c r="A7" s="28" t="s">
        <v>78</v>
      </c>
      <c r="B7" s="29">
        <f>B3*B6</f>
        <v>25000</v>
      </c>
      <c r="H7" s="217"/>
      <c r="I7" s="217"/>
      <c r="J7" s="81"/>
      <c r="K7" s="12"/>
      <c r="L7" s="217"/>
      <c r="M7" s="81"/>
    </row>
    <row r="8" spans="1:15" x14ac:dyDescent="0.3">
      <c r="A8" s="6" t="s">
        <v>7</v>
      </c>
      <c r="B8" s="6">
        <v>0.1105</v>
      </c>
      <c r="C8" t="s">
        <v>66</v>
      </c>
      <c r="H8" s="218"/>
      <c r="I8" s="218"/>
      <c r="J8" s="81"/>
      <c r="K8" s="12"/>
      <c r="L8" s="216"/>
      <c r="M8" s="81"/>
    </row>
    <row r="9" spans="1:15" x14ac:dyDescent="0.3">
      <c r="A9" s="28" t="s">
        <v>4</v>
      </c>
      <c r="B9" s="70">
        <f>B7*B8</f>
        <v>2762.5</v>
      </c>
      <c r="H9" s="81"/>
      <c r="I9" s="81"/>
      <c r="J9" s="81"/>
      <c r="K9" s="12"/>
      <c r="L9" s="219"/>
      <c r="M9" s="81"/>
    </row>
    <row r="10" spans="1:15" x14ac:dyDescent="0.3">
      <c r="A10" s="79" t="s">
        <v>81</v>
      </c>
      <c r="B10" s="76" t="s">
        <v>82</v>
      </c>
      <c r="H10" s="81"/>
      <c r="I10" s="81"/>
      <c r="J10" s="81"/>
      <c r="K10" s="12"/>
      <c r="L10" s="81"/>
      <c r="M10" s="81"/>
    </row>
    <row r="11" spans="1:15" x14ac:dyDescent="0.3">
      <c r="A11" s="6" t="s">
        <v>83</v>
      </c>
      <c r="B11" s="6">
        <v>1</v>
      </c>
      <c r="H11" s="81"/>
      <c r="I11" s="81"/>
      <c r="J11" s="81"/>
      <c r="K11" s="81"/>
      <c r="L11" s="81"/>
      <c r="M11" s="81"/>
    </row>
    <row r="14" spans="1:15" x14ac:dyDescent="0.3">
      <c r="K14" s="118"/>
    </row>
    <row r="15" spans="1:15" x14ac:dyDescent="0.3">
      <c r="G15" s="215"/>
      <c r="L15" s="87"/>
    </row>
    <row r="16" spans="1:15" x14ac:dyDescent="0.3">
      <c r="A16" s="1">
        <v>45902</v>
      </c>
      <c r="B16" s="12"/>
      <c r="C16" s="12"/>
      <c r="D16" s="12"/>
      <c r="E16" s="228" t="s">
        <v>12</v>
      </c>
      <c r="F16" s="228"/>
      <c r="G16" s="228" t="s">
        <v>12</v>
      </c>
      <c r="H16" s="18" t="s">
        <v>14</v>
      </c>
      <c r="I16" s="213" t="s">
        <v>183</v>
      </c>
      <c r="J16" s="19" t="s">
        <v>13</v>
      </c>
      <c r="K16" s="30" t="s">
        <v>15</v>
      </c>
      <c r="L16" s="18" t="s">
        <v>17</v>
      </c>
    </row>
    <row r="17" spans="1:15" x14ac:dyDescent="0.3">
      <c r="A17" s="13" t="s">
        <v>24</v>
      </c>
      <c r="B17" s="13" t="s">
        <v>20</v>
      </c>
      <c r="C17" s="13" t="s">
        <v>3</v>
      </c>
      <c r="D17" s="15" t="s">
        <v>10</v>
      </c>
      <c r="E17" s="30" t="s">
        <v>11</v>
      </c>
      <c r="F17" s="30" t="s">
        <v>5</v>
      </c>
      <c r="G17" s="30" t="s">
        <v>4</v>
      </c>
      <c r="H17" s="18" t="s">
        <v>4</v>
      </c>
      <c r="I17" s="213"/>
      <c r="J17" s="19" t="s">
        <v>4</v>
      </c>
      <c r="K17" s="30" t="s">
        <v>4</v>
      </c>
      <c r="L17" s="23"/>
    </row>
    <row r="18" spans="1:15" x14ac:dyDescent="0.3">
      <c r="A18" s="6" t="s">
        <v>115</v>
      </c>
      <c r="B18" s="6" t="s">
        <v>25</v>
      </c>
      <c r="C18" s="9"/>
      <c r="D18" s="16">
        <v>12</v>
      </c>
      <c r="E18" s="31">
        <f t="shared" ref="E18:E19" si="0">(C18*$B$2)+D18</f>
        <v>12</v>
      </c>
      <c r="F18" s="31">
        <f>E18*$B$6</f>
        <v>600</v>
      </c>
      <c r="G18" s="86">
        <f>F18*$B$8</f>
        <v>66.3</v>
      </c>
      <c r="H18" s="10"/>
      <c r="I18" s="208"/>
      <c r="J18" s="21">
        <v>66.3</v>
      </c>
      <c r="K18" s="82">
        <f>J18-G18-H18-I18</f>
        <v>0</v>
      </c>
      <c r="L18" s="23"/>
    </row>
    <row r="19" spans="1:15" x14ac:dyDescent="0.3">
      <c r="A19" t="s">
        <v>174</v>
      </c>
      <c r="B19" s="6" t="s">
        <v>25</v>
      </c>
      <c r="C19" s="9">
        <v>9</v>
      </c>
      <c r="D19" s="16">
        <v>38</v>
      </c>
      <c r="E19" s="31">
        <f t="shared" si="0"/>
        <v>488</v>
      </c>
      <c r="F19" s="31">
        <f t="shared" ref="F19" si="1">E19*$B$4*$B$6</f>
        <v>24400</v>
      </c>
      <c r="G19" s="86">
        <f>F19*$B$8</f>
        <v>2696.2</v>
      </c>
      <c r="H19" s="10">
        <v>7</v>
      </c>
      <c r="I19" s="208">
        <v>28</v>
      </c>
      <c r="J19" s="83">
        <v>3458</v>
      </c>
      <c r="K19" s="82">
        <f>J19-G19-H19-I19</f>
        <v>726.80000000000018</v>
      </c>
      <c r="L19" s="24" t="s">
        <v>52</v>
      </c>
      <c r="O19" s="87"/>
    </row>
    <row r="20" spans="1:15" x14ac:dyDescent="0.3">
      <c r="A20" s="6"/>
      <c r="B20" s="6"/>
      <c r="C20" s="9"/>
      <c r="D20" s="16"/>
      <c r="E20" s="31">
        <f t="shared" ref="E20:E23" si="2">(C20*$B$2)+D20</f>
        <v>0</v>
      </c>
      <c r="F20" s="31">
        <f>E20*$B$4*$B$6</f>
        <v>0</v>
      </c>
      <c r="G20" s="31">
        <f t="shared" ref="G20:G23" si="3">F20*$B$8</f>
        <v>0</v>
      </c>
      <c r="H20" s="10"/>
      <c r="I20" s="208"/>
      <c r="J20" s="21"/>
      <c r="K20" s="33">
        <f>J20-G20-H20</f>
        <v>0</v>
      </c>
      <c r="L20" s="24"/>
    </row>
    <row r="21" spans="1:15" x14ac:dyDescent="0.3">
      <c r="A21" s="6"/>
      <c r="B21" s="6"/>
      <c r="C21" s="9"/>
      <c r="D21" s="16"/>
      <c r="E21" s="31">
        <f t="shared" si="2"/>
        <v>0</v>
      </c>
      <c r="F21" s="31">
        <f>E21*$B$4*$B$6</f>
        <v>0</v>
      </c>
      <c r="G21" s="31">
        <f t="shared" si="3"/>
        <v>0</v>
      </c>
      <c r="H21" s="10"/>
      <c r="I21" s="208"/>
      <c r="J21" s="21"/>
      <c r="K21" s="33">
        <f>J21-G21-H21</f>
        <v>0</v>
      </c>
      <c r="L21" s="24"/>
    </row>
    <row r="22" spans="1:15" x14ac:dyDescent="0.3">
      <c r="A22" s="6"/>
      <c r="B22" s="6"/>
      <c r="C22" s="9"/>
      <c r="D22" s="16"/>
      <c r="E22" s="31">
        <f t="shared" si="2"/>
        <v>0</v>
      </c>
      <c r="F22" s="31">
        <f>E22*$B$4*$B$6</f>
        <v>0</v>
      </c>
      <c r="G22" s="31">
        <f t="shared" si="3"/>
        <v>0</v>
      </c>
      <c r="H22" s="10"/>
      <c r="I22" s="208"/>
      <c r="J22" s="21"/>
      <c r="K22" s="33">
        <f>J22-G22-H22</f>
        <v>0</v>
      </c>
      <c r="L22" s="24"/>
    </row>
    <row r="23" spans="1:15" x14ac:dyDescent="0.3">
      <c r="A23" s="6"/>
      <c r="B23" s="6"/>
      <c r="C23" s="9"/>
      <c r="D23" s="16"/>
      <c r="E23" s="31">
        <f t="shared" si="2"/>
        <v>0</v>
      </c>
      <c r="F23" s="31">
        <f>E23*$B$4*$B$6</f>
        <v>0</v>
      </c>
      <c r="G23" s="31">
        <f t="shared" si="3"/>
        <v>0</v>
      </c>
      <c r="H23" s="10"/>
      <c r="I23" s="208"/>
      <c r="J23" s="21"/>
      <c r="K23" s="33">
        <f>J23-G23-H23</f>
        <v>0</v>
      </c>
      <c r="L23" s="24"/>
    </row>
    <row r="24" spans="1:15" x14ac:dyDescent="0.3">
      <c r="A24" s="5" t="s">
        <v>11</v>
      </c>
      <c r="B24" s="6"/>
      <c r="C24" s="7">
        <f>SUM(C18:C23)</f>
        <v>9</v>
      </c>
      <c r="D24" s="17">
        <f>SUM(D18:D23)</f>
        <v>50</v>
      </c>
      <c r="E24" s="32">
        <f>SUM(E18:E23)</f>
        <v>500</v>
      </c>
      <c r="F24" s="32">
        <f>SUM(F18:F23)</f>
        <v>25000</v>
      </c>
      <c r="G24" s="140">
        <f>SUM(G18:G23)</f>
        <v>2762.5</v>
      </c>
      <c r="H24" s="140">
        <f t="shared" ref="H24:K24" si="4">SUM(H18:H23)</f>
        <v>7</v>
      </c>
      <c r="I24" s="140">
        <f t="shared" si="4"/>
        <v>28</v>
      </c>
      <c r="J24" s="140">
        <f t="shared" si="4"/>
        <v>3524.3</v>
      </c>
      <c r="K24" s="140">
        <f t="shared" si="4"/>
        <v>726.80000000000018</v>
      </c>
      <c r="L24" s="25"/>
    </row>
    <row r="25" spans="1:15" x14ac:dyDescent="0.3">
      <c r="E25" s="4">
        <f>E24/F1</f>
        <v>1</v>
      </c>
    </row>
    <row r="26" spans="1:15" x14ac:dyDescent="0.3">
      <c r="E26" s="4"/>
      <c r="G26" s="44"/>
    </row>
    <row r="27" spans="1:15" x14ac:dyDescent="0.3">
      <c r="E27" s="4"/>
      <c r="F27" s="51" t="s">
        <v>12</v>
      </c>
      <c r="G27" s="51" t="s">
        <v>4</v>
      </c>
      <c r="H27" s="51" t="s">
        <v>14</v>
      </c>
      <c r="I27" s="51" t="s">
        <v>183</v>
      </c>
      <c r="J27" s="51" t="s">
        <v>13</v>
      </c>
      <c r="K27" s="51" t="s">
        <v>15</v>
      </c>
    </row>
    <row r="28" spans="1:15" x14ac:dyDescent="0.3">
      <c r="F28" s="26" t="s">
        <v>25</v>
      </c>
      <c r="G28" s="27">
        <f>SUMIF($B$18:$B$23,$F$28,G18:G23)</f>
        <v>2762.5</v>
      </c>
      <c r="H28" s="27">
        <f t="shared" ref="H28:K28" si="5">SUMIF($B$18:$B$23,$F$28,H18:H23)</f>
        <v>7</v>
      </c>
      <c r="I28" s="27">
        <f t="shared" si="5"/>
        <v>28</v>
      </c>
      <c r="J28" s="27">
        <f t="shared" si="5"/>
        <v>3524.3</v>
      </c>
      <c r="K28" s="27">
        <f t="shared" si="5"/>
        <v>726.80000000000018</v>
      </c>
    </row>
    <row r="29" spans="1:15" x14ac:dyDescent="0.3">
      <c r="F29" s="14" t="s">
        <v>27</v>
      </c>
      <c r="G29" s="27">
        <f>SUMIF($B$18:$B$23,$F$29,G18:G23)</f>
        <v>0</v>
      </c>
      <c r="H29" s="27">
        <f t="shared" ref="H29:K29" si="6">SUMIF($B$18:$B$23,$F$29,H18:H23)</f>
        <v>0</v>
      </c>
      <c r="I29" s="27">
        <f t="shared" si="6"/>
        <v>0</v>
      </c>
      <c r="J29" s="27">
        <f t="shared" si="6"/>
        <v>0</v>
      </c>
      <c r="K29" s="27">
        <f t="shared" si="6"/>
        <v>0</v>
      </c>
    </row>
    <row r="30" spans="1:15" x14ac:dyDescent="0.3">
      <c r="F30" s="8" t="s">
        <v>34</v>
      </c>
      <c r="G30" s="7">
        <f>SUM(G28:G29)</f>
        <v>2762.5</v>
      </c>
      <c r="H30" s="7">
        <f>SUM(H28:H29)</f>
        <v>7</v>
      </c>
      <c r="I30" s="7">
        <f t="shared" ref="I30:K30" si="7">SUM(I28:I29)</f>
        <v>28</v>
      </c>
      <c r="J30" s="7">
        <f>SUM(J28:J29)</f>
        <v>3524.3</v>
      </c>
      <c r="K30" s="7">
        <f t="shared" si="7"/>
        <v>726.80000000000018</v>
      </c>
    </row>
    <row r="32" spans="1:15" s="119" customFormat="1" x14ac:dyDescent="0.3"/>
    <row r="38" spans="1:12" x14ac:dyDescent="0.3">
      <c r="A38" s="28" t="s">
        <v>3</v>
      </c>
      <c r="B38" s="28">
        <f>C56+(D56/B39)</f>
        <v>4.7</v>
      </c>
      <c r="C38" s="69">
        <v>5</v>
      </c>
      <c r="E38" s="5" t="s">
        <v>26</v>
      </c>
      <c r="F38" s="6">
        <v>470</v>
      </c>
      <c r="G38" s="6" t="s">
        <v>18</v>
      </c>
    </row>
    <row r="39" spans="1:12" x14ac:dyDescent="0.3">
      <c r="A39" s="6" t="s">
        <v>6</v>
      </c>
      <c r="B39" s="6">
        <v>100</v>
      </c>
      <c r="E39" s="5" t="s">
        <v>151</v>
      </c>
      <c r="F39" s="43">
        <f>B40</f>
        <v>470</v>
      </c>
      <c r="G39" s="6" t="s">
        <v>18</v>
      </c>
    </row>
    <row r="40" spans="1:12" x14ac:dyDescent="0.3">
      <c r="A40" s="28" t="s">
        <v>46</v>
      </c>
      <c r="B40" s="29">
        <f>+B38*B39</f>
        <v>470</v>
      </c>
      <c r="E40" s="5" t="s">
        <v>16</v>
      </c>
      <c r="F40" s="43">
        <f>F38-B42</f>
        <v>0</v>
      </c>
      <c r="G40" s="6" t="s">
        <v>18</v>
      </c>
    </row>
    <row r="41" spans="1:12" x14ac:dyDescent="0.3">
      <c r="A41" s="6" t="s">
        <v>8</v>
      </c>
      <c r="B41" s="6">
        <v>1</v>
      </c>
      <c r="I41" s="81" t="s">
        <v>185</v>
      </c>
    </row>
    <row r="42" spans="1:12" x14ac:dyDescent="0.3">
      <c r="A42" s="28" t="s">
        <v>45</v>
      </c>
      <c r="B42" s="29">
        <f>B38*B39</f>
        <v>470</v>
      </c>
      <c r="I42" s="81" t="s">
        <v>186</v>
      </c>
    </row>
    <row r="43" spans="1:12" x14ac:dyDescent="0.3">
      <c r="A43" s="6" t="s">
        <v>9</v>
      </c>
      <c r="B43" s="6">
        <v>12</v>
      </c>
    </row>
    <row r="44" spans="1:12" x14ac:dyDescent="0.3">
      <c r="A44" s="28" t="s">
        <v>2</v>
      </c>
      <c r="B44" s="29">
        <f>B42*B43</f>
        <v>5640</v>
      </c>
    </row>
    <row r="45" spans="1:12" x14ac:dyDescent="0.3">
      <c r="A45" s="6" t="s">
        <v>7</v>
      </c>
      <c r="B45" s="6">
        <v>0.1105</v>
      </c>
      <c r="C45" t="s">
        <v>66</v>
      </c>
      <c r="E45">
        <v>0.112</v>
      </c>
      <c r="J45" s="87"/>
    </row>
    <row r="46" spans="1:12" x14ac:dyDescent="0.3">
      <c r="A46" s="28" t="s">
        <v>4</v>
      </c>
      <c r="B46" s="29">
        <f>B44*B45</f>
        <v>623.22</v>
      </c>
      <c r="G46" s="180"/>
      <c r="J46" s="87"/>
    </row>
    <row r="48" spans="1:12" x14ac:dyDescent="0.3">
      <c r="A48" s="1">
        <v>45902</v>
      </c>
      <c r="B48" s="12"/>
      <c r="C48" s="12"/>
      <c r="D48" s="12"/>
      <c r="E48" s="228" t="s">
        <v>12</v>
      </c>
      <c r="F48" s="228"/>
      <c r="G48" s="228" t="s">
        <v>12</v>
      </c>
      <c r="H48" s="18" t="s">
        <v>14</v>
      </c>
      <c r="I48" s="213" t="s">
        <v>183</v>
      </c>
      <c r="J48" s="19" t="s">
        <v>13</v>
      </c>
      <c r="K48" s="30" t="s">
        <v>15</v>
      </c>
      <c r="L48" s="18" t="s">
        <v>17</v>
      </c>
    </row>
    <row r="49" spans="1:12" x14ac:dyDescent="0.3">
      <c r="A49" s="13" t="s">
        <v>24</v>
      </c>
      <c r="B49" s="13" t="s">
        <v>20</v>
      </c>
      <c r="C49" s="13" t="s">
        <v>3</v>
      </c>
      <c r="D49" s="15" t="s">
        <v>10</v>
      </c>
      <c r="E49" s="30" t="s">
        <v>11</v>
      </c>
      <c r="F49" s="30" t="s">
        <v>5</v>
      </c>
      <c r="G49" s="30" t="s">
        <v>4</v>
      </c>
      <c r="H49" s="18" t="s">
        <v>4</v>
      </c>
      <c r="I49" s="18" t="s">
        <v>4</v>
      </c>
      <c r="J49" s="19" t="s">
        <v>4</v>
      </c>
      <c r="K49" s="30" t="s">
        <v>4</v>
      </c>
      <c r="L49" s="23"/>
    </row>
    <row r="50" spans="1:12" x14ac:dyDescent="0.3">
      <c r="A50" s="6" t="s">
        <v>174</v>
      </c>
      <c r="B50" s="6" t="s">
        <v>25</v>
      </c>
      <c r="C50" s="9"/>
      <c r="D50" s="16">
        <v>470</v>
      </c>
      <c r="E50" s="31">
        <f>(C50*$B$2)+D50</f>
        <v>470</v>
      </c>
      <c r="F50" s="31">
        <f>E50*$B$43</f>
        <v>5640</v>
      </c>
      <c r="G50" s="86">
        <f>+F50*B45</f>
        <v>623.22</v>
      </c>
      <c r="H50" s="10"/>
      <c r="I50" s="208">
        <v>6.5</v>
      </c>
      <c r="J50" s="21">
        <f>+K19</f>
        <v>726.80000000000018</v>
      </c>
      <c r="K50" s="82">
        <f>J50-G50-H50-I50</f>
        <v>97.080000000000155</v>
      </c>
      <c r="L50" s="24" t="s">
        <v>52</v>
      </c>
    </row>
    <row r="51" spans="1:12" x14ac:dyDescent="0.3">
      <c r="A51" s="6"/>
      <c r="B51" s="6"/>
      <c r="C51" s="9"/>
      <c r="D51" s="16"/>
      <c r="E51" s="31">
        <f t="shared" ref="E51:E55" si="8">(C51*$B$2)+D51</f>
        <v>0</v>
      </c>
      <c r="F51" s="31">
        <f t="shared" ref="F51:F55" si="9">E51*$B$4*$B$6</f>
        <v>0</v>
      </c>
      <c r="G51" s="86">
        <f>+F51*E45</f>
        <v>0</v>
      </c>
      <c r="H51" s="10"/>
      <c r="I51" s="208"/>
      <c r="J51" s="83"/>
      <c r="K51" s="82"/>
    </row>
    <row r="52" spans="1:12" x14ac:dyDescent="0.3">
      <c r="A52" s="6"/>
      <c r="B52" s="6"/>
      <c r="C52" s="9"/>
      <c r="D52" s="16"/>
      <c r="E52" s="31">
        <f t="shared" si="8"/>
        <v>0</v>
      </c>
      <c r="F52" s="31">
        <f t="shared" si="9"/>
        <v>0</v>
      </c>
      <c r="G52" s="31">
        <f t="shared" ref="G52:G55" si="10">F52*$B$8</f>
        <v>0</v>
      </c>
      <c r="H52" s="10"/>
      <c r="I52" s="208"/>
      <c r="J52" s="21"/>
      <c r="K52" s="33">
        <f>J52-G52-H52</f>
        <v>0</v>
      </c>
      <c r="L52" s="24"/>
    </row>
    <row r="53" spans="1:12" x14ac:dyDescent="0.3">
      <c r="A53" s="6"/>
      <c r="B53" s="6"/>
      <c r="C53" s="9"/>
      <c r="D53" s="16"/>
      <c r="E53" s="31">
        <f t="shared" si="8"/>
        <v>0</v>
      </c>
      <c r="F53" s="31">
        <f t="shared" si="9"/>
        <v>0</v>
      </c>
      <c r="G53" s="31">
        <f t="shared" si="10"/>
        <v>0</v>
      </c>
      <c r="H53" s="10"/>
      <c r="I53" s="208"/>
      <c r="J53" s="21"/>
      <c r="K53" s="33">
        <f>J53-G53-H53</f>
        <v>0</v>
      </c>
      <c r="L53" s="24"/>
    </row>
    <row r="54" spans="1:12" x14ac:dyDescent="0.3">
      <c r="A54" s="6"/>
      <c r="B54" s="6"/>
      <c r="C54" s="9"/>
      <c r="D54" s="16"/>
      <c r="E54" s="31">
        <f t="shared" si="8"/>
        <v>0</v>
      </c>
      <c r="F54" s="31">
        <f t="shared" si="9"/>
        <v>0</v>
      </c>
      <c r="G54" s="31">
        <f t="shared" si="10"/>
        <v>0</v>
      </c>
      <c r="H54" s="10"/>
      <c r="I54" s="208"/>
      <c r="J54" s="21"/>
      <c r="K54" s="33">
        <f>J54-G54-H54</f>
        <v>0</v>
      </c>
      <c r="L54" s="24"/>
    </row>
    <row r="55" spans="1:12" x14ac:dyDescent="0.3">
      <c r="A55" s="6"/>
      <c r="B55" s="6"/>
      <c r="C55" s="9"/>
      <c r="D55" s="16"/>
      <c r="E55" s="31">
        <f t="shared" si="8"/>
        <v>0</v>
      </c>
      <c r="F55" s="31">
        <f t="shared" si="9"/>
        <v>0</v>
      </c>
      <c r="G55" s="31">
        <f t="shared" si="10"/>
        <v>0</v>
      </c>
      <c r="H55" s="10"/>
      <c r="I55" s="208"/>
      <c r="J55" s="21"/>
      <c r="K55" s="33">
        <f>J55-G55-H55</f>
        <v>0</v>
      </c>
      <c r="L55" s="24"/>
    </row>
    <row r="56" spans="1:12" x14ac:dyDescent="0.3">
      <c r="A56" s="5" t="s">
        <v>11</v>
      </c>
      <c r="B56" s="6"/>
      <c r="C56" s="7">
        <f>SUM(C50:C55)</f>
        <v>0</v>
      </c>
      <c r="D56" s="17">
        <f>SUM(D50:D55)</f>
        <v>470</v>
      </c>
      <c r="E56" s="32">
        <f>SUM(E50:E55)</f>
        <v>470</v>
      </c>
      <c r="F56" s="32">
        <f>SUM(F50:F55)</f>
        <v>5640</v>
      </c>
      <c r="G56" s="32">
        <f>SUM(G50:G55)</f>
        <v>623.22</v>
      </c>
      <c r="H56" s="32">
        <f t="shared" ref="H56:K56" si="11">SUM(H50:H55)</f>
        <v>0</v>
      </c>
      <c r="I56" s="32">
        <f t="shared" si="11"/>
        <v>6.5</v>
      </c>
      <c r="J56" s="140">
        <f t="shared" si="11"/>
        <v>726.80000000000018</v>
      </c>
      <c r="K56" s="140">
        <f t="shared" si="11"/>
        <v>97.080000000000155</v>
      </c>
      <c r="L56" s="25"/>
    </row>
    <row r="57" spans="1:12" x14ac:dyDescent="0.3">
      <c r="E57" s="4">
        <f>E56/F38</f>
        <v>1</v>
      </c>
      <c r="K57" s="206"/>
    </row>
    <row r="58" spans="1:12" x14ac:dyDescent="0.3">
      <c r="E58" s="4"/>
      <c r="G58" s="44"/>
    </row>
    <row r="59" spans="1:12" x14ac:dyDescent="0.3">
      <c r="E59" s="4"/>
      <c r="F59" s="51" t="s">
        <v>12</v>
      </c>
      <c r="G59" s="51" t="s">
        <v>4</v>
      </c>
      <c r="H59" s="51" t="s">
        <v>14</v>
      </c>
      <c r="I59" s="51" t="s">
        <v>183</v>
      </c>
      <c r="J59" s="51" t="s">
        <v>13</v>
      </c>
      <c r="K59" s="51" t="s">
        <v>15</v>
      </c>
    </row>
    <row r="60" spans="1:12" x14ac:dyDescent="0.3">
      <c r="F60" s="26" t="s">
        <v>25</v>
      </c>
      <c r="G60" s="27">
        <f>SUMIF($B$13:$B$18,$F$23,G50:G55)</f>
        <v>0</v>
      </c>
      <c r="H60" s="27">
        <f t="shared" ref="H60:K60" si="12">SUMIF($B$13:$B$18,$F$23,H50:H55)</f>
        <v>0</v>
      </c>
      <c r="I60" s="27">
        <f t="shared" si="12"/>
        <v>0</v>
      </c>
      <c r="J60" s="27">
        <f t="shared" si="12"/>
        <v>0</v>
      </c>
      <c r="K60" s="27">
        <f t="shared" si="12"/>
        <v>0</v>
      </c>
    </row>
    <row r="61" spans="1:12" x14ac:dyDescent="0.3">
      <c r="F61" s="14" t="s">
        <v>27</v>
      </c>
      <c r="G61" s="27">
        <f>SUMIF($B$13:$B$18,$F$24,G50:G55)</f>
        <v>0</v>
      </c>
      <c r="H61" s="27">
        <f t="shared" ref="H61:K61" si="13">SUMIF($B$13:$B$18,$F$24,H50:H55)</f>
        <v>0</v>
      </c>
      <c r="I61" s="27">
        <f t="shared" si="13"/>
        <v>0</v>
      </c>
      <c r="J61" s="27">
        <f t="shared" si="13"/>
        <v>0</v>
      </c>
      <c r="K61" s="27">
        <f t="shared" si="13"/>
        <v>0</v>
      </c>
    </row>
    <row r="62" spans="1:12" x14ac:dyDescent="0.3">
      <c r="F62" s="8" t="s">
        <v>34</v>
      </c>
      <c r="G62" s="7">
        <f>SUM(G60:G61)</f>
        <v>0</v>
      </c>
      <c r="H62" s="7">
        <f>SUM(H60:H61)</f>
        <v>0</v>
      </c>
      <c r="I62" s="7">
        <f t="shared" ref="I62:K62" si="14">SUM(I60:I61)</f>
        <v>0</v>
      </c>
      <c r="J62" s="221">
        <f t="shared" si="14"/>
        <v>0</v>
      </c>
      <c r="K62" s="221">
        <f t="shared" si="14"/>
        <v>0</v>
      </c>
    </row>
    <row r="65" spans="1:12" s="119" customFormat="1" x14ac:dyDescent="0.3"/>
    <row r="70" spans="1:12" x14ac:dyDescent="0.3">
      <c r="A70" s="28" t="s">
        <v>3</v>
      </c>
      <c r="B70" s="28">
        <f>C88+(D88/B71)</f>
        <v>0.93457943925233644</v>
      </c>
      <c r="C70" s="129">
        <v>1</v>
      </c>
      <c r="E70" s="5" t="s">
        <v>26</v>
      </c>
      <c r="F70" s="27">
        <f>+B72</f>
        <v>100</v>
      </c>
      <c r="G70" s="6" t="s">
        <v>18</v>
      </c>
    </row>
    <row r="71" spans="1:12" x14ac:dyDescent="0.3">
      <c r="A71" s="6" t="s">
        <v>6</v>
      </c>
      <c r="B71" s="6">
        <v>107</v>
      </c>
      <c r="C71" s="47"/>
      <c r="E71" s="5" t="s">
        <v>16</v>
      </c>
      <c r="F71" s="43">
        <f>F70-B72</f>
        <v>0</v>
      </c>
      <c r="G71" s="6" t="s">
        <v>18</v>
      </c>
    </row>
    <row r="72" spans="1:12" x14ac:dyDescent="0.3">
      <c r="A72" s="28" t="s">
        <v>46</v>
      </c>
      <c r="B72" s="29">
        <f>+B70*B71</f>
        <v>100</v>
      </c>
      <c r="C72" s="126"/>
    </row>
    <row r="73" spans="1:12" x14ac:dyDescent="0.3">
      <c r="A73" s="6" t="s">
        <v>8</v>
      </c>
      <c r="B73" s="96">
        <v>1</v>
      </c>
      <c r="C73" s="47"/>
      <c r="I73" s="81" t="s">
        <v>187</v>
      </c>
    </row>
    <row r="74" spans="1:12" x14ac:dyDescent="0.3">
      <c r="A74" s="28" t="s">
        <v>45</v>
      </c>
      <c r="B74" s="76" t="s">
        <v>82</v>
      </c>
      <c r="C74" s="47"/>
      <c r="I74" s="81">
        <v>99180</v>
      </c>
    </row>
    <row r="75" spans="1:12" x14ac:dyDescent="0.3">
      <c r="A75" s="6" t="s">
        <v>106</v>
      </c>
      <c r="B75" s="6">
        <v>12</v>
      </c>
      <c r="C75" s="47"/>
    </row>
    <row r="76" spans="1:12" x14ac:dyDescent="0.3">
      <c r="A76" s="28" t="s">
        <v>105</v>
      </c>
      <c r="B76" s="29">
        <f>B72*B75</f>
        <v>1200</v>
      </c>
      <c r="C76" s="47"/>
    </row>
    <row r="77" spans="1:12" x14ac:dyDescent="0.3">
      <c r="A77" s="6" t="s">
        <v>7</v>
      </c>
      <c r="B77" s="6">
        <f>((212+216)/2)/1000</f>
        <v>0.214</v>
      </c>
      <c r="J77" s="87"/>
    </row>
    <row r="78" spans="1:12" x14ac:dyDescent="0.3">
      <c r="A78" s="28" t="s">
        <v>4</v>
      </c>
      <c r="B78" s="152">
        <f>B76*B77</f>
        <v>256.8</v>
      </c>
      <c r="C78" s="131"/>
    </row>
    <row r="80" spans="1:12" x14ac:dyDescent="0.3">
      <c r="A80" s="1">
        <v>45904</v>
      </c>
      <c r="B80" s="12"/>
      <c r="C80" s="12"/>
      <c r="D80" s="12"/>
      <c r="E80" s="228" t="s">
        <v>12</v>
      </c>
      <c r="F80" s="228"/>
      <c r="G80" s="228" t="s">
        <v>12</v>
      </c>
      <c r="H80" s="18" t="s">
        <v>14</v>
      </c>
      <c r="I80" s="213" t="s">
        <v>183</v>
      </c>
      <c r="J80" s="19" t="s">
        <v>13</v>
      </c>
      <c r="K80" s="30" t="s">
        <v>15</v>
      </c>
      <c r="L80" s="18" t="s">
        <v>17</v>
      </c>
    </row>
    <row r="81" spans="1:12" x14ac:dyDescent="0.3">
      <c r="A81" s="13" t="s">
        <v>24</v>
      </c>
      <c r="B81" s="13" t="s">
        <v>20</v>
      </c>
      <c r="C81" s="13" t="s">
        <v>3</v>
      </c>
      <c r="D81" s="15" t="s">
        <v>10</v>
      </c>
      <c r="E81" s="30" t="s">
        <v>11</v>
      </c>
      <c r="F81" s="30" t="s">
        <v>5</v>
      </c>
      <c r="G81" s="30" t="s">
        <v>4</v>
      </c>
      <c r="H81" s="18" t="s">
        <v>4</v>
      </c>
      <c r="I81" s="18" t="s">
        <v>4</v>
      </c>
      <c r="J81" s="19" t="s">
        <v>4</v>
      </c>
      <c r="K81" s="30" t="s">
        <v>4</v>
      </c>
      <c r="L81" s="23"/>
    </row>
    <row r="82" spans="1:12" x14ac:dyDescent="0.3">
      <c r="A82" s="6" t="s">
        <v>174</v>
      </c>
      <c r="B82" s="6" t="s">
        <v>25</v>
      </c>
      <c r="C82" s="9"/>
      <c r="D82" s="16">
        <v>37</v>
      </c>
      <c r="E82" s="31">
        <f t="shared" ref="E82:E87" si="15">(C82*$B$2)+D82</f>
        <v>37</v>
      </c>
      <c r="F82" s="31">
        <f>E82*$B$6</f>
        <v>1850</v>
      </c>
      <c r="G82" s="86">
        <f>F82*$B$8</f>
        <v>204.42500000000001</v>
      </c>
      <c r="H82" s="10"/>
      <c r="I82" s="214">
        <v>1.5</v>
      </c>
      <c r="J82" s="92">
        <v>96.62</v>
      </c>
      <c r="K82" s="82">
        <f>J82-G82-H82-I82</f>
        <v>-109.30500000000001</v>
      </c>
      <c r="L82" s="24" t="s">
        <v>52</v>
      </c>
    </row>
    <row r="83" spans="1:12" x14ac:dyDescent="0.3">
      <c r="A83" s="6" t="s">
        <v>182</v>
      </c>
      <c r="B83" s="6" t="s">
        <v>25</v>
      </c>
      <c r="C83" s="9"/>
      <c r="D83" s="16">
        <v>63</v>
      </c>
      <c r="E83" s="31">
        <f t="shared" si="15"/>
        <v>63</v>
      </c>
      <c r="F83" s="31">
        <f t="shared" ref="F83:F87" si="16">E83*$B$4*$B$6</f>
        <v>3150</v>
      </c>
      <c r="G83" s="62">
        <f t="shared" ref="G83:G87" si="17">F83*$B$8</f>
        <v>348.07499999999999</v>
      </c>
      <c r="H83" s="10"/>
      <c r="I83" s="208"/>
      <c r="J83" s="83">
        <v>5040</v>
      </c>
      <c r="K83" s="82">
        <f>J83-G83-H83-I83</f>
        <v>4691.9250000000002</v>
      </c>
    </row>
    <row r="84" spans="1:12" x14ac:dyDescent="0.3">
      <c r="A84" s="6"/>
      <c r="B84" s="6"/>
      <c r="C84" s="9"/>
      <c r="D84" s="16"/>
      <c r="E84" s="31">
        <f t="shared" si="15"/>
        <v>0</v>
      </c>
      <c r="F84" s="31">
        <f t="shared" si="16"/>
        <v>0</v>
      </c>
      <c r="G84" s="31">
        <f t="shared" si="17"/>
        <v>0</v>
      </c>
      <c r="H84" s="10"/>
      <c r="I84" s="208"/>
      <c r="J84" s="21"/>
      <c r="K84" s="33">
        <f>J84-G84-H84</f>
        <v>0</v>
      </c>
      <c r="L84" s="24">
        <f>+K83/180</f>
        <v>26.06625</v>
      </c>
    </row>
    <row r="85" spans="1:12" x14ac:dyDescent="0.3">
      <c r="A85" s="6"/>
      <c r="B85" s="6"/>
      <c r="C85" s="9"/>
      <c r="D85" s="16"/>
      <c r="E85" s="31">
        <f t="shared" si="15"/>
        <v>0</v>
      </c>
      <c r="F85" s="31">
        <f t="shared" si="16"/>
        <v>0</v>
      </c>
      <c r="G85" s="31">
        <f t="shared" si="17"/>
        <v>0</v>
      </c>
      <c r="H85" s="10"/>
      <c r="I85" s="208"/>
      <c r="J85" s="21"/>
      <c r="K85" s="33">
        <f>J85-G85-H85</f>
        <v>0</v>
      </c>
      <c r="L85" s="24">
        <f>0.1*180</f>
        <v>18</v>
      </c>
    </row>
    <row r="86" spans="1:12" x14ac:dyDescent="0.3">
      <c r="A86" s="6"/>
      <c r="B86" s="6"/>
      <c r="C86" s="9"/>
      <c r="D86" s="16"/>
      <c r="E86" s="31">
        <f t="shared" si="15"/>
        <v>0</v>
      </c>
      <c r="F86" s="31">
        <f t="shared" si="16"/>
        <v>0</v>
      </c>
      <c r="G86" s="31">
        <f t="shared" si="17"/>
        <v>0</v>
      </c>
      <c r="H86" s="10"/>
      <c r="I86" s="208"/>
      <c r="J86" s="21"/>
      <c r="K86" s="33">
        <f>J86-G86-H86</f>
        <v>0</v>
      </c>
      <c r="L86" s="24"/>
    </row>
    <row r="87" spans="1:12" x14ac:dyDescent="0.3">
      <c r="A87" s="6"/>
      <c r="B87" s="6"/>
      <c r="C87" s="9"/>
      <c r="D87" s="16"/>
      <c r="E87" s="31">
        <f t="shared" si="15"/>
        <v>0</v>
      </c>
      <c r="F87" s="31">
        <f t="shared" si="16"/>
        <v>0</v>
      </c>
      <c r="G87" s="31">
        <f t="shared" si="17"/>
        <v>0</v>
      </c>
      <c r="H87" s="10"/>
      <c r="I87" s="208"/>
      <c r="J87" s="21"/>
      <c r="K87" s="33">
        <f>J87-G87-H87</f>
        <v>0</v>
      </c>
      <c r="L87" s="24"/>
    </row>
    <row r="88" spans="1:12" x14ac:dyDescent="0.3">
      <c r="A88" s="5" t="s">
        <v>11</v>
      </c>
      <c r="B88" s="6"/>
      <c r="C88" s="7">
        <f>SUM(C82:C87)</f>
        <v>0</v>
      </c>
      <c r="D88" s="17">
        <f>SUM(D82:D87)</f>
        <v>100</v>
      </c>
      <c r="E88" s="32">
        <f>SUM(E82:E87)</f>
        <v>100</v>
      </c>
      <c r="F88" s="32">
        <f>SUM(F82:F87)</f>
        <v>5000</v>
      </c>
      <c r="G88" s="32">
        <f>SUM(G82:G87)</f>
        <v>552.5</v>
      </c>
      <c r="H88" s="32">
        <f t="shared" ref="H88:K88" si="18">SUM(H82:H87)</f>
        <v>0</v>
      </c>
      <c r="I88" s="32">
        <f t="shared" si="18"/>
        <v>1.5</v>
      </c>
      <c r="J88" s="140">
        <f t="shared" si="18"/>
        <v>5136.62</v>
      </c>
      <c r="K88" s="140">
        <f t="shared" si="18"/>
        <v>4582.62</v>
      </c>
      <c r="L88" s="25"/>
    </row>
    <row r="89" spans="1:12" x14ac:dyDescent="0.3">
      <c r="E89" s="4">
        <f>E88/F70</f>
        <v>1</v>
      </c>
      <c r="K89" s="206"/>
    </row>
    <row r="90" spans="1:12" x14ac:dyDescent="0.3">
      <c r="E90" s="4"/>
      <c r="G90" s="44"/>
    </row>
    <row r="91" spans="1:12" x14ac:dyDescent="0.3">
      <c r="E91" s="4"/>
      <c r="F91" s="51" t="s">
        <v>12</v>
      </c>
      <c r="G91" s="51" t="s">
        <v>4</v>
      </c>
      <c r="H91" s="51" t="s">
        <v>14</v>
      </c>
      <c r="I91" s="51" t="s">
        <v>183</v>
      </c>
      <c r="J91" s="51" t="s">
        <v>13</v>
      </c>
      <c r="K91" s="51" t="s">
        <v>15</v>
      </c>
    </row>
    <row r="92" spans="1:12" x14ac:dyDescent="0.3">
      <c r="F92" s="26" t="s">
        <v>25</v>
      </c>
      <c r="G92" s="27">
        <f>+G83</f>
        <v>348.07499999999999</v>
      </c>
      <c r="H92" s="27">
        <f t="shared" ref="H92:K92" si="19">SUMIF($B$13:$B$18,$F$23,H82:H87)</f>
        <v>0</v>
      </c>
      <c r="I92" s="27">
        <f t="shared" si="19"/>
        <v>0</v>
      </c>
      <c r="J92" s="27">
        <f t="shared" si="19"/>
        <v>0</v>
      </c>
      <c r="K92" s="27">
        <f t="shared" si="19"/>
        <v>0</v>
      </c>
    </row>
    <row r="93" spans="1:12" x14ac:dyDescent="0.3">
      <c r="F93" s="14" t="s">
        <v>27</v>
      </c>
      <c r="G93" s="27">
        <f>SUMIF($B$13:$B$18,$F$24,G82:G87)</f>
        <v>0</v>
      </c>
      <c r="H93" s="27">
        <f t="shared" ref="H93:K93" si="20">SUMIF($B$13:$B$18,$F$24,H82:H87)</f>
        <v>0</v>
      </c>
      <c r="I93" s="27">
        <f t="shared" si="20"/>
        <v>0</v>
      </c>
      <c r="J93" s="27">
        <f t="shared" si="20"/>
        <v>0</v>
      </c>
      <c r="K93" s="27">
        <f t="shared" si="20"/>
        <v>0</v>
      </c>
    </row>
    <row r="94" spans="1:12" x14ac:dyDescent="0.3">
      <c r="F94" s="8" t="s">
        <v>34</v>
      </c>
      <c r="G94" s="7">
        <f>SUM(G92:G93)</f>
        <v>348.07499999999999</v>
      </c>
      <c r="H94" s="7">
        <f>SUM(H92:H93)</f>
        <v>0</v>
      </c>
      <c r="I94" s="7">
        <f t="shared" ref="I94:K94" si="21">SUM(I92:I93)</f>
        <v>0</v>
      </c>
      <c r="J94" s="221">
        <f t="shared" si="21"/>
        <v>0</v>
      </c>
      <c r="K94" s="221">
        <f t="shared" si="21"/>
        <v>0</v>
      </c>
    </row>
  </sheetData>
  <mergeCells count="4">
    <mergeCell ref="E16:G16"/>
    <mergeCell ref="H2:M2"/>
    <mergeCell ref="E48:G48"/>
    <mergeCell ref="E80:G80"/>
  </mergeCells>
  <pageMargins left="0.7" right="0.7" top="0.75" bottom="0.75" header="0.3" footer="0.3"/>
  <pageSetup scale="37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AFFC9-B664-4241-8A80-E52957365B23}">
  <sheetPr>
    <pageSetUpPr fitToPage="1"/>
  </sheetPr>
  <dimension ref="A1:N25"/>
  <sheetViews>
    <sheetView showGridLines="0" topLeftCell="A4" zoomScaleNormal="100" workbookViewId="0">
      <selection activeCell="N19" sqref="N19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2</v>
      </c>
      <c r="E1" s="5" t="s">
        <v>26</v>
      </c>
      <c r="F1" s="6">
        <v>48</v>
      </c>
      <c r="G1" s="6" t="s">
        <v>18</v>
      </c>
    </row>
    <row r="2" spans="1:11" x14ac:dyDescent="0.3">
      <c r="A2" s="6" t="s">
        <v>6</v>
      </c>
      <c r="B2" s="6">
        <v>24</v>
      </c>
      <c r="E2" s="5" t="s">
        <v>16</v>
      </c>
      <c r="F2" s="35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48</v>
      </c>
    </row>
    <row r="4" spans="1:11" x14ac:dyDescent="0.3">
      <c r="A4" s="6" t="s">
        <v>8</v>
      </c>
      <c r="B4" s="6">
        <v>4</v>
      </c>
    </row>
    <row r="5" spans="1:11" x14ac:dyDescent="0.3">
      <c r="A5" s="28" t="s">
        <v>1</v>
      </c>
      <c r="B5" s="29">
        <f>B3*B4</f>
        <v>192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1920</v>
      </c>
    </row>
    <row r="8" spans="1:11" x14ac:dyDescent="0.3">
      <c r="A8" s="6" t="s">
        <v>7</v>
      </c>
      <c r="B8" s="6">
        <v>0.38</v>
      </c>
    </row>
    <row r="9" spans="1:11" x14ac:dyDescent="0.3">
      <c r="A9" s="28" t="s">
        <v>4</v>
      </c>
      <c r="B9" s="70">
        <f>B7*B8</f>
        <v>729.6</v>
      </c>
    </row>
    <row r="11" spans="1:11" x14ac:dyDescent="0.3">
      <c r="A11" s="1">
        <v>45908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108</v>
      </c>
      <c r="B13" s="6" t="s">
        <v>25</v>
      </c>
      <c r="C13" s="9"/>
      <c r="D13" s="16">
        <v>10</v>
      </c>
      <c r="E13" s="31">
        <f>(C13*$B$2)+D13</f>
        <v>10</v>
      </c>
      <c r="F13" s="31">
        <f>E13*$B$4*$B$6</f>
        <v>400</v>
      </c>
      <c r="G13" s="72">
        <f>F13*$B$8</f>
        <v>152</v>
      </c>
      <c r="H13" s="10">
        <v>7</v>
      </c>
      <c r="I13" s="59">
        <v>163.5</v>
      </c>
      <c r="J13" s="141">
        <f>I13-G13-H13</f>
        <v>4.5</v>
      </c>
      <c r="K13" s="24" t="s">
        <v>19</v>
      </c>
    </row>
    <row r="14" spans="1:11" x14ac:dyDescent="0.3">
      <c r="A14" t="s">
        <v>188</v>
      </c>
      <c r="B14" s="6" t="s">
        <v>25</v>
      </c>
      <c r="C14" s="9"/>
      <c r="D14" s="16">
        <v>38</v>
      </c>
      <c r="E14" s="31">
        <f>(C14*$B$2)+D14</f>
        <v>38</v>
      </c>
      <c r="F14" s="31">
        <f t="shared" ref="F14:F18" si="0">E14*$B$4*$B$6</f>
        <v>1520</v>
      </c>
      <c r="G14" s="72">
        <f t="shared" ref="G14:G18" si="1">F14*$B$8</f>
        <v>577.6</v>
      </c>
      <c r="H14" s="10"/>
      <c r="I14" s="21">
        <v>1800</v>
      </c>
      <c r="J14" s="33">
        <f>I14-G14-H14</f>
        <v>1222.4000000000001</v>
      </c>
      <c r="K14" s="24" t="s">
        <v>52</v>
      </c>
    </row>
    <row r="15" spans="1:11" x14ac:dyDescent="0.3">
      <c r="A15" s="6"/>
      <c r="B15" s="6"/>
      <c r="C15" s="9"/>
      <c r="D15" s="16"/>
      <c r="E15" s="31">
        <f t="shared" ref="E15:E18" si="2">(C15*$B$2)+D15</f>
        <v>0</v>
      </c>
      <c r="F15" s="31">
        <f t="shared" si="0"/>
        <v>0</v>
      </c>
      <c r="G15" s="31">
        <f t="shared" si="1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B16" s="6"/>
      <c r="C16" s="9"/>
      <c r="D16" s="16"/>
      <c r="E16" s="31">
        <f t="shared" si="2"/>
        <v>0</v>
      </c>
      <c r="F16" s="31">
        <f t="shared" si="0"/>
        <v>0</v>
      </c>
      <c r="G16" s="31">
        <f t="shared" si="1"/>
        <v>0</v>
      </c>
      <c r="H16" s="10"/>
      <c r="I16" s="21"/>
      <c r="J16" s="33">
        <f t="shared" si="3"/>
        <v>0</v>
      </c>
      <c r="K16" s="24"/>
    </row>
    <row r="17" spans="1:14" x14ac:dyDescent="0.3">
      <c r="A17" s="6"/>
      <c r="B17" s="6"/>
      <c r="C17" s="9"/>
      <c r="D17" s="16"/>
      <c r="E17" s="31">
        <f t="shared" si="2"/>
        <v>0</v>
      </c>
      <c r="F17" s="31">
        <f t="shared" si="0"/>
        <v>0</v>
      </c>
      <c r="G17" s="31">
        <f t="shared" si="1"/>
        <v>0</v>
      </c>
      <c r="H17" s="10"/>
      <c r="I17" s="21"/>
      <c r="J17" s="33">
        <f t="shared" si="3"/>
        <v>0</v>
      </c>
      <c r="K17" s="24"/>
    </row>
    <row r="18" spans="1:14" x14ac:dyDescent="0.3">
      <c r="A18" s="6"/>
      <c r="B18" s="6"/>
      <c r="C18" s="9"/>
      <c r="D18" s="16"/>
      <c r="E18" s="31">
        <f t="shared" si="2"/>
        <v>0</v>
      </c>
      <c r="F18" s="31">
        <f t="shared" si="0"/>
        <v>0</v>
      </c>
      <c r="G18" s="31">
        <f t="shared" si="1"/>
        <v>0</v>
      </c>
      <c r="H18" s="10"/>
      <c r="I18" s="21"/>
      <c r="J18" s="33">
        <f t="shared" si="3"/>
        <v>0</v>
      </c>
      <c r="K18" s="24"/>
      <c r="N18">
        <f>69+250</f>
        <v>319</v>
      </c>
    </row>
    <row r="19" spans="1:14" x14ac:dyDescent="0.3">
      <c r="A19" s="5" t="s">
        <v>11</v>
      </c>
      <c r="B19" s="6"/>
      <c r="C19" s="7">
        <f>SUM(C13:C18)</f>
        <v>0</v>
      </c>
      <c r="D19" s="17">
        <f>SUM(D13:D18)</f>
        <v>48</v>
      </c>
      <c r="E19" s="32">
        <f>SUM(E13:E18)</f>
        <v>48</v>
      </c>
      <c r="F19" s="32">
        <f>SUM(F13:F18)</f>
        <v>1920</v>
      </c>
      <c r="G19" s="140">
        <f>SUM(G13:G18)</f>
        <v>729.6</v>
      </c>
      <c r="H19" s="11"/>
      <c r="I19" s="22"/>
      <c r="J19" s="34"/>
      <c r="K19" s="25"/>
    </row>
    <row r="20" spans="1:14" x14ac:dyDescent="0.3">
      <c r="E20" s="4">
        <f>E19/F1</f>
        <v>1</v>
      </c>
    </row>
    <row r="21" spans="1:14" x14ac:dyDescent="0.3">
      <c r="E21" s="4"/>
    </row>
    <row r="22" spans="1:14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4" x14ac:dyDescent="0.3">
      <c r="F23" s="26" t="s">
        <v>25</v>
      </c>
      <c r="G23" s="27">
        <f>SUMIF($B$13:$B$18,$F$23,G13:G18)</f>
        <v>729.6</v>
      </c>
      <c r="H23" s="27">
        <f>SUMIF($B$13:$B$18,$F$23,H13:H18)</f>
        <v>7</v>
      </c>
      <c r="I23" s="27">
        <f>SUMIF($B$13:$B$18,$F$23,I13:I18)</f>
        <v>1963.5</v>
      </c>
      <c r="J23" s="27">
        <f>SUMIF($B$13:$B$18,$F$23,J13:J18)</f>
        <v>1226.9000000000001</v>
      </c>
    </row>
    <row r="24" spans="1:14" x14ac:dyDescent="0.3">
      <c r="F24" s="14" t="s">
        <v>27</v>
      </c>
      <c r="G24" s="27">
        <f>SUMIF($B$13:$B$18,$F$24,G13:G18)</f>
        <v>0</v>
      </c>
      <c r="H24" s="27">
        <f>SUMIF($B$13:$B$18,$F$24,H13:H18)</f>
        <v>0</v>
      </c>
      <c r="I24" s="27">
        <f>SUMIF($B$13:$B$18,$F$24,I13:I18)</f>
        <v>0</v>
      </c>
      <c r="J24" s="27">
        <f>SUMIF($B$13:$B$18,$F$24,J13:J18)</f>
        <v>0</v>
      </c>
    </row>
    <row r="25" spans="1:14" x14ac:dyDescent="0.3">
      <c r="F25" s="8" t="s">
        <v>34</v>
      </c>
      <c r="G25" s="7">
        <f>SUM(G23:G24)</f>
        <v>729.6</v>
      </c>
      <c r="H25" s="7">
        <f t="shared" ref="H25:J25" si="4">SUM(H23:H24)</f>
        <v>7</v>
      </c>
      <c r="I25" s="7">
        <f t="shared" si="4"/>
        <v>1963.5</v>
      </c>
      <c r="J25" s="7">
        <f t="shared" si="4"/>
        <v>1226.9000000000001</v>
      </c>
    </row>
  </sheetData>
  <mergeCells count="1">
    <mergeCell ref="E11:G11"/>
  </mergeCells>
  <pageMargins left="0.25" right="0.25" top="0.75" bottom="0.75" header="0.3" footer="0.3"/>
  <pageSetup scale="88" fitToHeight="0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9BC27-676A-4CA6-8FD8-DFD15B590547}">
  <sheetPr>
    <pageSetUpPr fitToPage="1"/>
  </sheetPr>
  <dimension ref="A1:K25"/>
  <sheetViews>
    <sheetView showGridLines="0" zoomScaleNormal="100" workbookViewId="0">
      <selection activeCell="B13" sqref="B13"/>
    </sheetView>
  </sheetViews>
  <sheetFormatPr defaultRowHeight="14.4" x14ac:dyDescent="0.3"/>
  <cols>
    <col min="1" max="1" width="28.88671875" bestFit="1" customWidth="1"/>
    <col min="4" max="4" width="8.5546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2.75</v>
      </c>
      <c r="E1" s="5" t="s">
        <v>26</v>
      </c>
      <c r="F1" s="6">
        <v>55</v>
      </c>
      <c r="G1" s="6" t="s">
        <v>18</v>
      </c>
    </row>
    <row r="2" spans="1:11" x14ac:dyDescent="0.3">
      <c r="A2" s="6" t="s">
        <v>6</v>
      </c>
      <c r="B2" s="6">
        <v>20</v>
      </c>
      <c r="E2" s="5" t="s">
        <v>16</v>
      </c>
      <c r="F2" s="73">
        <f>F1-B3</f>
        <v>0</v>
      </c>
      <c r="G2" s="6" t="s">
        <v>18</v>
      </c>
    </row>
    <row r="3" spans="1:11" x14ac:dyDescent="0.3">
      <c r="A3" s="28" t="s">
        <v>0</v>
      </c>
      <c r="B3" s="70">
        <f>B1*B2</f>
        <v>55</v>
      </c>
    </row>
    <row r="4" spans="1:11" x14ac:dyDescent="0.3">
      <c r="A4" s="6" t="s">
        <v>8</v>
      </c>
      <c r="B4" s="6">
        <v>6</v>
      </c>
    </row>
    <row r="5" spans="1:11" x14ac:dyDescent="0.3">
      <c r="A5" s="28" t="s">
        <v>1</v>
      </c>
      <c r="B5" s="29">
        <f>B3*B4</f>
        <v>330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3300</v>
      </c>
    </row>
    <row r="8" spans="1:11" x14ac:dyDescent="0.3">
      <c r="A8" s="6" t="s">
        <v>7</v>
      </c>
      <c r="B8" s="6">
        <v>0.43</v>
      </c>
    </row>
    <row r="9" spans="1:11" x14ac:dyDescent="0.3">
      <c r="A9" s="28" t="s">
        <v>4</v>
      </c>
      <c r="B9" s="29">
        <f>B7*B8</f>
        <v>1419</v>
      </c>
    </row>
    <row r="11" spans="1:11" x14ac:dyDescent="0.3">
      <c r="A11" s="1">
        <v>45303</v>
      </c>
      <c r="B11" s="12"/>
      <c r="C11" s="12"/>
      <c r="D11" s="12"/>
      <c r="E11" s="228" t="s">
        <v>12</v>
      </c>
      <c r="F11" s="228"/>
      <c r="G11" s="228"/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71</v>
      </c>
      <c r="B13" s="6" t="s">
        <v>27</v>
      </c>
      <c r="C13" s="9"/>
      <c r="D13" s="9">
        <v>55</v>
      </c>
      <c r="E13" s="72">
        <f>(C13*$B$2)+D13</f>
        <v>55</v>
      </c>
      <c r="F13" s="31">
        <f>E13*$B$4*$B$6</f>
        <v>3300</v>
      </c>
      <c r="G13" s="31">
        <f>F13*$B$8</f>
        <v>1419</v>
      </c>
      <c r="H13" s="10">
        <v>6</v>
      </c>
      <c r="I13" s="20">
        <v>1440</v>
      </c>
      <c r="J13" s="33">
        <f>I13-G13-H13</f>
        <v>15</v>
      </c>
      <c r="K13" s="24" t="s">
        <v>19</v>
      </c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 t="shared" ref="F14:F18" si="0">E14*$B$4*$B$6</f>
        <v>0</v>
      </c>
      <c r="G14" s="31">
        <f t="shared" ref="G14:G18" si="1">F14*$B$8</f>
        <v>0</v>
      </c>
      <c r="H14" s="10"/>
      <c r="I14" s="21"/>
      <c r="J14" s="33">
        <f>I14-G14-H14</f>
        <v>0</v>
      </c>
      <c r="K14" s="24"/>
    </row>
    <row r="15" spans="1:11" x14ac:dyDescent="0.3">
      <c r="A15" s="6"/>
      <c r="B15" s="6"/>
      <c r="C15" s="9"/>
      <c r="D15" s="16"/>
      <c r="E15" s="31">
        <f t="shared" ref="E15:E18" si="2">(C15*$B$2)+D15</f>
        <v>0</v>
      </c>
      <c r="F15" s="31">
        <f t="shared" si="0"/>
        <v>0</v>
      </c>
      <c r="G15" s="31">
        <f t="shared" si="1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2"/>
        <v>0</v>
      </c>
      <c r="F16" s="31">
        <f t="shared" si="0"/>
        <v>0</v>
      </c>
      <c r="G16" s="31">
        <f t="shared" si="1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0"/>
        <v>0</v>
      </c>
      <c r="G17" s="31">
        <f t="shared" si="1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2"/>
        <v>0</v>
      </c>
      <c r="F18" s="31">
        <f t="shared" si="0"/>
        <v>0</v>
      </c>
      <c r="G18" s="31">
        <f t="shared" si="1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55</v>
      </c>
      <c r="E19" s="32">
        <f>SUM(E13:E18)</f>
        <v>55</v>
      </c>
      <c r="F19" s="32">
        <f>SUM(F13:F18)</f>
        <v>3300</v>
      </c>
      <c r="G19" s="32">
        <f>SUM(G13:G18)</f>
        <v>1419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2" t="s">
        <v>14</v>
      </c>
      <c r="I22" s="53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0</v>
      </c>
      <c r="H23" s="27">
        <f t="shared" ref="H23:J23" si="4">SUMIF($B$13:$B$18,$F$23,H13:H18)</f>
        <v>0</v>
      </c>
      <c r="I23" s="27">
        <f t="shared" si="4"/>
        <v>0</v>
      </c>
      <c r="J23" s="27">
        <f t="shared" si="4"/>
        <v>0</v>
      </c>
    </row>
    <row r="24" spans="1:11" x14ac:dyDescent="0.3">
      <c r="F24" s="14" t="s">
        <v>27</v>
      </c>
      <c r="G24" s="27">
        <f>SUMIF($B$13:$B$18,$F$24,G13:G18)</f>
        <v>1419</v>
      </c>
      <c r="H24" s="27">
        <f t="shared" ref="H24:J24" si="5">SUMIF($B$13:$B$18,$F$24,H13:H18)</f>
        <v>6</v>
      </c>
      <c r="I24" s="27">
        <f t="shared" si="5"/>
        <v>1440</v>
      </c>
      <c r="J24" s="27">
        <f t="shared" si="5"/>
        <v>15</v>
      </c>
    </row>
    <row r="25" spans="1:11" x14ac:dyDescent="0.3">
      <c r="F25" s="8" t="s">
        <v>34</v>
      </c>
      <c r="G25" s="7">
        <f>SUM(G23:G24)</f>
        <v>1419</v>
      </c>
      <c r="H25" s="7">
        <f t="shared" ref="H25:J25" si="6">SUM(H23:H24)</f>
        <v>6</v>
      </c>
      <c r="I25" s="7">
        <f t="shared" si="6"/>
        <v>1440</v>
      </c>
      <c r="J25" s="7">
        <f t="shared" si="6"/>
        <v>15</v>
      </c>
    </row>
  </sheetData>
  <mergeCells count="1">
    <mergeCell ref="E11:G11"/>
  </mergeCells>
  <pageMargins left="0.25" right="0.25" top="0.75" bottom="0.75" header="0.3" footer="0.3"/>
  <pageSetup scale="86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77EA6-257F-4A91-80AD-C6DC02C48958}">
  <sheetPr>
    <pageSetUpPr fitToPage="1"/>
  </sheetPr>
  <dimension ref="A1:K25"/>
  <sheetViews>
    <sheetView showGridLines="0" zoomScale="110" zoomScaleNormal="110" workbookViewId="0">
      <selection activeCell="B1" sqref="B1"/>
    </sheetView>
  </sheetViews>
  <sheetFormatPr defaultRowHeight="14.4" x14ac:dyDescent="0.3"/>
  <cols>
    <col min="1" max="1" width="28.88671875" bestFit="1" customWidth="1"/>
    <col min="5" max="5" width="14.33203125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5.85</v>
      </c>
      <c r="E1" s="5" t="s">
        <v>26</v>
      </c>
      <c r="F1" s="6">
        <v>117</v>
      </c>
      <c r="G1" s="6" t="s">
        <v>18</v>
      </c>
    </row>
    <row r="2" spans="1:11" x14ac:dyDescent="0.3">
      <c r="A2" s="6" t="s">
        <v>6</v>
      </c>
      <c r="B2" s="6">
        <v>20</v>
      </c>
      <c r="E2" s="5" t="s">
        <v>16</v>
      </c>
      <c r="F2" s="73">
        <f>F1-B3</f>
        <v>0</v>
      </c>
      <c r="G2" s="6" t="s">
        <v>18</v>
      </c>
    </row>
    <row r="3" spans="1:11" x14ac:dyDescent="0.3">
      <c r="A3" s="28" t="s">
        <v>0</v>
      </c>
      <c r="B3" s="70">
        <f>B1*B2</f>
        <v>117</v>
      </c>
    </row>
    <row r="4" spans="1:11" x14ac:dyDescent="0.3">
      <c r="A4" s="6" t="s">
        <v>8</v>
      </c>
      <c r="B4" s="6">
        <v>6</v>
      </c>
    </row>
    <row r="5" spans="1:11" x14ac:dyDescent="0.3">
      <c r="A5" s="28" t="s">
        <v>1</v>
      </c>
      <c r="B5" s="29">
        <f>B3*B4</f>
        <v>702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7020</v>
      </c>
    </row>
    <row r="8" spans="1:11" x14ac:dyDescent="0.3">
      <c r="A8" s="6" t="s">
        <v>7</v>
      </c>
      <c r="B8" s="6">
        <v>0.43</v>
      </c>
    </row>
    <row r="9" spans="1:11" x14ac:dyDescent="0.3">
      <c r="A9" s="28" t="s">
        <v>4</v>
      </c>
      <c r="B9" s="29">
        <f>B7*B8</f>
        <v>3018.6</v>
      </c>
    </row>
    <row r="11" spans="1:11" x14ac:dyDescent="0.3">
      <c r="A11" s="1">
        <v>45308</v>
      </c>
      <c r="B11" s="12"/>
      <c r="C11" s="12"/>
      <c r="D11" s="12"/>
      <c r="E11" s="228" t="s">
        <v>12</v>
      </c>
      <c r="F11" s="228"/>
      <c r="G11" s="228"/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69</v>
      </c>
      <c r="B13" s="6" t="s">
        <v>27</v>
      </c>
      <c r="C13" s="9">
        <v>5</v>
      </c>
      <c r="D13" s="71">
        <f>15+2</f>
        <v>17</v>
      </c>
      <c r="E13" s="72">
        <f>(C13*$B$2)+D13</f>
        <v>117</v>
      </c>
      <c r="F13" s="31">
        <f>E13*$B$4*$B$6</f>
        <v>7020</v>
      </c>
      <c r="G13" s="72">
        <f>F13*$B$8</f>
        <v>3018.6</v>
      </c>
      <c r="H13" s="10">
        <v>50</v>
      </c>
      <c r="I13" s="20">
        <v>3004</v>
      </c>
      <c r="J13" s="58">
        <f>I13-G13-H13</f>
        <v>-64.599999999999909</v>
      </c>
      <c r="K13" s="24" t="s">
        <v>70</v>
      </c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 t="shared" ref="F14:F18" si="0">E14*$B$4*$B$6</f>
        <v>0</v>
      </c>
      <c r="G14" s="31">
        <f t="shared" ref="G14:G18" si="1">F14*$B$8</f>
        <v>0</v>
      </c>
      <c r="H14" s="10"/>
      <c r="I14" s="21"/>
      <c r="J14" s="33">
        <f>I14-G14-H14</f>
        <v>0</v>
      </c>
      <c r="K14" s="24"/>
    </row>
    <row r="15" spans="1:11" x14ac:dyDescent="0.3">
      <c r="A15" s="6"/>
      <c r="B15" s="6"/>
      <c r="C15" s="9"/>
      <c r="D15" s="16"/>
      <c r="E15" s="31">
        <f t="shared" ref="E15:E18" si="2">(C15*$B$2)+D15</f>
        <v>0</v>
      </c>
      <c r="F15" s="31">
        <f t="shared" si="0"/>
        <v>0</v>
      </c>
      <c r="G15" s="31">
        <f t="shared" si="1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2"/>
        <v>0</v>
      </c>
      <c r="F16" s="31">
        <f t="shared" si="0"/>
        <v>0</v>
      </c>
      <c r="G16" s="31">
        <f t="shared" si="1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0"/>
        <v>0</v>
      </c>
      <c r="G17" s="31">
        <f t="shared" si="1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2"/>
        <v>0</v>
      </c>
      <c r="F18" s="31">
        <f t="shared" si="0"/>
        <v>0</v>
      </c>
      <c r="G18" s="31">
        <f t="shared" si="1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5</v>
      </c>
      <c r="D19" s="17">
        <f>SUM(D13:D18)</f>
        <v>17</v>
      </c>
      <c r="E19" s="32">
        <f>SUM(E13:E18)</f>
        <v>117</v>
      </c>
      <c r="F19" s="32">
        <f>SUM(F13:F18)</f>
        <v>7020</v>
      </c>
      <c r="G19" s="32">
        <f>SUM(G13:G18)</f>
        <v>3018.6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2" t="s">
        <v>14</v>
      </c>
      <c r="I22" s="53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0</v>
      </c>
      <c r="H23" s="27">
        <f t="shared" ref="H23:J23" si="4">SUMIF($B$13:$B$18,$F$23,H13:H18)</f>
        <v>0</v>
      </c>
      <c r="I23" s="27">
        <f t="shared" si="4"/>
        <v>0</v>
      </c>
      <c r="J23" s="27">
        <f t="shared" si="4"/>
        <v>0</v>
      </c>
    </row>
    <row r="24" spans="1:11" x14ac:dyDescent="0.3">
      <c r="F24" s="14" t="s">
        <v>27</v>
      </c>
      <c r="G24" s="27">
        <f>SUMIF($B$13:$B$18,$F$24,G13:G18)</f>
        <v>3018.6</v>
      </c>
      <c r="H24" s="27">
        <f t="shared" ref="H24:J24" si="5">SUMIF($B$13:$B$18,$F$24,H13:H18)</f>
        <v>50</v>
      </c>
      <c r="I24" s="27">
        <f t="shared" si="5"/>
        <v>3004</v>
      </c>
      <c r="J24" s="27">
        <f t="shared" si="5"/>
        <v>-64.599999999999909</v>
      </c>
    </row>
    <row r="25" spans="1:11" x14ac:dyDescent="0.3">
      <c r="F25" s="8" t="s">
        <v>34</v>
      </c>
      <c r="G25" s="7">
        <f>SUM(G23:G24)</f>
        <v>3018.6</v>
      </c>
      <c r="H25" s="7">
        <f t="shared" ref="H25:J25" si="6">SUM(H23:H24)</f>
        <v>50</v>
      </c>
      <c r="I25" s="7">
        <f t="shared" si="6"/>
        <v>3004</v>
      </c>
      <c r="J25" s="7">
        <f t="shared" si="6"/>
        <v>-64.599999999999909</v>
      </c>
    </row>
  </sheetData>
  <mergeCells count="1">
    <mergeCell ref="E11:G11"/>
  </mergeCells>
  <pageMargins left="0.25" right="0.25" top="0.75" bottom="0.75" header="0.3" footer="0.3"/>
  <pageSetup scale="83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807D-953B-48AC-A2C2-AB02E1FAEA59}">
  <sheetPr>
    <pageSetUpPr fitToPage="1"/>
  </sheetPr>
  <dimension ref="A1:K25"/>
  <sheetViews>
    <sheetView showGridLines="0" zoomScaleNormal="100" workbookViewId="0">
      <selection activeCell="A21" sqref="A21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7" customWidth="1"/>
  </cols>
  <sheetData>
    <row r="1" spans="1:11" x14ac:dyDescent="0.3">
      <c r="A1" s="28" t="s">
        <v>3</v>
      </c>
      <c r="B1" s="28">
        <f>C19+(D19/B2)</f>
        <v>0.3</v>
      </c>
      <c r="C1" s="81"/>
      <c r="E1" s="5" t="s">
        <v>26</v>
      </c>
      <c r="F1" s="6">
        <v>12</v>
      </c>
      <c r="G1" s="6" t="s">
        <v>18</v>
      </c>
    </row>
    <row r="2" spans="1:11" x14ac:dyDescent="0.3">
      <c r="A2" s="6" t="s">
        <v>6</v>
      </c>
      <c r="B2" s="6">
        <v>40</v>
      </c>
      <c r="E2" s="5" t="s">
        <v>16</v>
      </c>
      <c r="F2" s="43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12</v>
      </c>
    </row>
    <row r="4" spans="1:11" x14ac:dyDescent="0.3">
      <c r="A4" s="6" t="s">
        <v>8</v>
      </c>
      <c r="B4" s="6">
        <v>4</v>
      </c>
    </row>
    <row r="5" spans="1:11" x14ac:dyDescent="0.3">
      <c r="A5" s="28" t="s">
        <v>1</v>
      </c>
      <c r="B5" s="29">
        <f>B3*B4</f>
        <v>48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480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192</v>
      </c>
    </row>
    <row r="11" spans="1:11" x14ac:dyDescent="0.3">
      <c r="A11" s="1">
        <v>45387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94</v>
      </c>
      <c r="B13" s="6" t="s">
        <v>25</v>
      </c>
      <c r="C13" s="9"/>
      <c r="D13" s="16"/>
      <c r="E13" s="31">
        <f>(C13*$B$2)+D13</f>
        <v>0</v>
      </c>
      <c r="F13" s="31">
        <f>E13*$B$4*$B$6</f>
        <v>0</v>
      </c>
      <c r="G13" s="31">
        <f t="shared" ref="G13:G18" si="0">F13*$B$8</f>
        <v>0</v>
      </c>
      <c r="H13" s="10">
        <v>18</v>
      </c>
      <c r="I13" s="83">
        <v>38.5</v>
      </c>
      <c r="J13" s="58">
        <f>I13-G13-H13</f>
        <v>20.5</v>
      </c>
      <c r="K13" s="24" t="s">
        <v>19</v>
      </c>
    </row>
    <row r="14" spans="1:11" x14ac:dyDescent="0.3">
      <c r="A14" t="s">
        <v>47</v>
      </c>
      <c r="B14" s="6" t="s">
        <v>25</v>
      </c>
      <c r="C14" s="9"/>
      <c r="D14" s="16">
        <v>12</v>
      </c>
      <c r="E14" s="31">
        <f>(C14*$B$2)+D14</f>
        <v>12</v>
      </c>
      <c r="F14" s="31">
        <f t="shared" ref="F14:F18" si="1">E14*$B$4*$B$6</f>
        <v>480</v>
      </c>
      <c r="G14" s="31">
        <f t="shared" si="0"/>
        <v>192</v>
      </c>
      <c r="H14" s="10">
        <v>10</v>
      </c>
      <c r="I14" s="83">
        <v>291.3</v>
      </c>
      <c r="J14" s="58">
        <f>I14-G14-H14</f>
        <v>89.300000000000011</v>
      </c>
      <c r="K14" s="24" t="s">
        <v>19</v>
      </c>
    </row>
    <row r="15" spans="1:11" x14ac:dyDescent="0.3">
      <c r="A15" s="6"/>
      <c r="B15" s="6"/>
      <c r="C15" s="9"/>
      <c r="D15" s="16"/>
      <c r="E15" s="31">
        <f t="shared" ref="E15:E18" si="2">(C15*$B$2)+D15</f>
        <v>0</v>
      </c>
      <c r="F15" s="31">
        <f t="shared" si="1"/>
        <v>0</v>
      </c>
      <c r="G15" s="31">
        <f t="shared" si="0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2"/>
        <v>0</v>
      </c>
      <c r="F16" s="31">
        <f t="shared" si="1"/>
        <v>0</v>
      </c>
      <c r="G16" s="31">
        <f t="shared" si="0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1"/>
        <v>0</v>
      </c>
      <c r="G17" s="31">
        <f t="shared" si="0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2"/>
        <v>0</v>
      </c>
      <c r="F18" s="31">
        <f t="shared" si="1"/>
        <v>0</v>
      </c>
      <c r="G18" s="31">
        <f t="shared" si="0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12</v>
      </c>
      <c r="E19" s="32">
        <f>SUM(E13:E18)</f>
        <v>12</v>
      </c>
      <c r="F19" s="32">
        <f>SUM(F13:F18)</f>
        <v>480</v>
      </c>
      <c r="G19" s="32">
        <f>SUM(G13:G18)</f>
        <v>192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192</v>
      </c>
      <c r="H23" s="27">
        <f t="shared" ref="H23:I23" si="4">SUMIF($B$13:$B$18,$F$23,H13:H18)</f>
        <v>28</v>
      </c>
      <c r="I23" s="27">
        <f t="shared" si="4"/>
        <v>329.8</v>
      </c>
      <c r="J23" s="27">
        <v>0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192</v>
      </c>
      <c r="H25" s="7">
        <f t="shared" ref="H25:J25" si="6">SUM(H23:H24)</f>
        <v>28</v>
      </c>
      <c r="I25" s="7">
        <f t="shared" si="6"/>
        <v>329.8</v>
      </c>
      <c r="J25" s="7">
        <f t="shared" si="6"/>
        <v>0</v>
      </c>
    </row>
  </sheetData>
  <mergeCells count="1">
    <mergeCell ref="E11:G11"/>
  </mergeCells>
  <pageMargins left="0.25" right="0.25" top="0.75" bottom="0.75" header="0.3" footer="0.3"/>
  <pageSetup scale="82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2CEE8-0814-45C8-A16B-5DFC626FD082}">
  <sheetPr>
    <pageSetUpPr fitToPage="1"/>
  </sheetPr>
  <dimension ref="A1:K25"/>
  <sheetViews>
    <sheetView showGridLines="0" zoomScaleNormal="100" workbookViewId="0">
      <selection activeCell="K7" sqref="K7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51.5546875" bestFit="1" customWidth="1"/>
  </cols>
  <sheetData>
    <row r="1" spans="1:11" x14ac:dyDescent="0.3">
      <c r="A1" s="28" t="s">
        <v>3</v>
      </c>
      <c r="B1" s="28">
        <f>C19+(D19/B2)</f>
        <v>6</v>
      </c>
      <c r="E1" s="5" t="s">
        <v>26</v>
      </c>
      <c r="F1" s="6">
        <v>300</v>
      </c>
      <c r="G1" s="6" t="s">
        <v>18</v>
      </c>
    </row>
    <row r="2" spans="1:11" x14ac:dyDescent="0.3">
      <c r="A2" s="6" t="s">
        <v>6</v>
      </c>
      <c r="B2" s="6">
        <v>50</v>
      </c>
      <c r="E2" s="5" t="s">
        <v>16</v>
      </c>
      <c r="F2" s="120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300</v>
      </c>
      <c r="I3" t="s">
        <v>169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900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9000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3600</v>
      </c>
    </row>
    <row r="11" spans="1:11" x14ac:dyDescent="0.3">
      <c r="A11" s="1">
        <v>45783</v>
      </c>
      <c r="B11" s="12"/>
      <c r="C11" s="12"/>
      <c r="D11" s="12"/>
      <c r="E11" s="228"/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127</v>
      </c>
      <c r="B13" s="6" t="s">
        <v>25</v>
      </c>
      <c r="C13" s="9"/>
      <c r="D13" s="16">
        <v>3</v>
      </c>
      <c r="E13" s="31">
        <f t="shared" ref="E13:E18" si="0">(C13*$B$2)+D13</f>
        <v>3</v>
      </c>
      <c r="F13" s="31">
        <f t="shared" ref="F13:F18" si="1">E13*$B$4*$B$6</f>
        <v>90</v>
      </c>
      <c r="G13" s="31">
        <f t="shared" ref="G13:G18" si="2">F13*$B$8</f>
        <v>36</v>
      </c>
      <c r="H13" s="10">
        <v>7</v>
      </c>
      <c r="I13" s="20">
        <v>50</v>
      </c>
      <c r="J13" s="33">
        <f>I13-G13-H13</f>
        <v>7</v>
      </c>
      <c r="K13" s="24" t="s">
        <v>170</v>
      </c>
    </row>
    <row r="14" spans="1:11" x14ac:dyDescent="0.3">
      <c r="A14" s="6" t="s">
        <v>168</v>
      </c>
      <c r="B14" s="6" t="s">
        <v>25</v>
      </c>
      <c r="C14" s="9">
        <v>5</v>
      </c>
      <c r="D14" s="16">
        <v>47</v>
      </c>
      <c r="E14" s="31">
        <f t="shared" si="0"/>
        <v>297</v>
      </c>
      <c r="F14" s="31">
        <f t="shared" si="1"/>
        <v>8910</v>
      </c>
      <c r="G14" s="31">
        <f t="shared" si="2"/>
        <v>3564</v>
      </c>
      <c r="H14" s="10"/>
      <c r="I14" s="21">
        <v>3960</v>
      </c>
      <c r="J14" s="33">
        <f>I14-G14-H14</f>
        <v>396</v>
      </c>
      <c r="K14" s="24" t="s">
        <v>154</v>
      </c>
    </row>
    <row r="15" spans="1:11" x14ac:dyDescent="0.3">
      <c r="A15" s="6"/>
      <c r="B15" s="6"/>
      <c r="C15" s="9"/>
      <c r="D15" s="16"/>
      <c r="E15" s="31">
        <f t="shared" si="0"/>
        <v>0</v>
      </c>
      <c r="F15" s="31">
        <f t="shared" si="1"/>
        <v>0</v>
      </c>
      <c r="G15" s="31">
        <f t="shared" si="2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5</v>
      </c>
      <c r="D19" s="17">
        <f>SUM(D13:D18)</f>
        <v>50</v>
      </c>
      <c r="E19" s="32">
        <f>SUM(E13:E18)</f>
        <v>300</v>
      </c>
      <c r="F19" s="32">
        <f>SUM(F13:F18)</f>
        <v>9000</v>
      </c>
      <c r="G19" s="32">
        <f>SUM(G13:G18)</f>
        <v>3600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3600</v>
      </c>
      <c r="H23" s="27">
        <f t="shared" ref="H23:J23" si="4">SUMIF($B$13:$B$18,$F$23,H13:H18)</f>
        <v>7</v>
      </c>
      <c r="I23" s="27">
        <f t="shared" si="4"/>
        <v>4010</v>
      </c>
      <c r="J23" s="27">
        <f t="shared" si="4"/>
        <v>403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3600</v>
      </c>
      <c r="H25" s="7">
        <f t="shared" ref="H25:J25" si="6">SUM(H23:H24)</f>
        <v>7</v>
      </c>
      <c r="I25" s="7">
        <f t="shared" si="6"/>
        <v>4010</v>
      </c>
      <c r="J25" s="7">
        <f t="shared" si="6"/>
        <v>403</v>
      </c>
    </row>
  </sheetData>
  <mergeCells count="1">
    <mergeCell ref="E11:G11"/>
  </mergeCells>
  <pageMargins left="0.7" right="0.7" top="0.75" bottom="0.75" header="0.3" footer="0.3"/>
  <pageSetup scale="73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C5669-660F-43C6-9A70-CA27A0AF0BD7}">
  <sheetPr>
    <pageSetUpPr fitToPage="1"/>
  </sheetPr>
  <dimension ref="A1:K25"/>
  <sheetViews>
    <sheetView showGridLines="0" zoomScaleNormal="100" workbookViewId="0">
      <selection activeCell="K22" sqref="K22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52.33203125" bestFit="1" customWidth="1"/>
  </cols>
  <sheetData>
    <row r="1" spans="1:11" x14ac:dyDescent="0.3">
      <c r="A1" s="28" t="s">
        <v>3</v>
      </c>
      <c r="B1" s="28">
        <f>C19+(D19/B2)</f>
        <v>10</v>
      </c>
      <c r="C1" s="69">
        <v>10</v>
      </c>
      <c r="E1" s="5" t="s">
        <v>26</v>
      </c>
      <c r="F1" s="6">
        <v>250</v>
      </c>
      <c r="G1" s="6" t="s">
        <v>18</v>
      </c>
    </row>
    <row r="2" spans="1:11" x14ac:dyDescent="0.3">
      <c r="A2" s="6" t="s">
        <v>6</v>
      </c>
      <c r="B2" s="6">
        <v>25</v>
      </c>
      <c r="E2" s="5" t="s">
        <v>16</v>
      </c>
      <c r="F2" s="43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250</v>
      </c>
    </row>
    <row r="4" spans="1:11" x14ac:dyDescent="0.3">
      <c r="A4" s="6" t="s">
        <v>8</v>
      </c>
      <c r="B4" s="6">
        <v>6</v>
      </c>
    </row>
    <row r="5" spans="1:11" x14ac:dyDescent="0.3">
      <c r="A5" s="28" t="s">
        <v>1</v>
      </c>
      <c r="B5" s="29">
        <f>B3*B4</f>
        <v>1500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15000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6000</v>
      </c>
    </row>
    <row r="11" spans="1:11" x14ac:dyDescent="0.3">
      <c r="A11" s="1">
        <v>45387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85</v>
      </c>
      <c r="B13" s="6" t="s">
        <v>25</v>
      </c>
      <c r="C13" s="9">
        <v>10</v>
      </c>
      <c r="D13" s="16"/>
      <c r="E13" s="31">
        <f>(C13*$B$2)+D13</f>
        <v>250</v>
      </c>
      <c r="F13" s="31">
        <f>E13*$B$4*$B$6</f>
        <v>15000</v>
      </c>
      <c r="G13" s="31">
        <f t="shared" ref="G13:G18" si="0">F13*$B$8</f>
        <v>6000</v>
      </c>
      <c r="H13" s="10">
        <v>5</v>
      </c>
      <c r="I13" s="20">
        <v>6480</v>
      </c>
      <c r="J13" s="33">
        <f>I13-G13-H13</f>
        <v>475</v>
      </c>
      <c r="K13" s="24" t="s">
        <v>86</v>
      </c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 t="shared" ref="F14:F18" si="1">E14*$B$4*$B$6</f>
        <v>0</v>
      </c>
      <c r="G14" s="31">
        <f t="shared" si="0"/>
        <v>0</v>
      </c>
      <c r="H14" s="10"/>
      <c r="I14" s="21"/>
      <c r="J14" s="33"/>
      <c r="K14" s="24"/>
    </row>
    <row r="15" spans="1:11" x14ac:dyDescent="0.3">
      <c r="A15" s="6"/>
      <c r="B15" s="6"/>
      <c r="C15" s="9"/>
      <c r="D15" s="16"/>
      <c r="E15" s="31">
        <f t="shared" ref="E15:E18" si="2">(C15*$B$2)+D15</f>
        <v>0</v>
      </c>
      <c r="F15" s="31">
        <f t="shared" si="1"/>
        <v>0</v>
      </c>
      <c r="G15" s="31">
        <f t="shared" si="0"/>
        <v>0</v>
      </c>
      <c r="H15" s="10"/>
      <c r="I15" s="21"/>
      <c r="J15" s="33"/>
      <c r="K15" s="24"/>
    </row>
    <row r="16" spans="1:11" x14ac:dyDescent="0.3">
      <c r="A16" s="6"/>
      <c r="B16" s="6"/>
      <c r="C16" s="9"/>
      <c r="D16" s="16"/>
      <c r="E16" s="31">
        <f t="shared" si="2"/>
        <v>0</v>
      </c>
      <c r="F16" s="31">
        <f t="shared" si="1"/>
        <v>0</v>
      </c>
      <c r="G16" s="31">
        <f t="shared" si="0"/>
        <v>0</v>
      </c>
      <c r="H16" s="10"/>
      <c r="I16" s="21"/>
      <c r="J16" s="33"/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1"/>
        <v>0</v>
      </c>
      <c r="G17" s="31">
        <f t="shared" si="0"/>
        <v>0</v>
      </c>
      <c r="H17" s="10"/>
      <c r="I17" s="10"/>
      <c r="J17" s="33">
        <f t="shared" ref="J17:J18" si="3">I17-G17-H17</f>
        <v>0</v>
      </c>
      <c r="K17" s="10"/>
    </row>
    <row r="18" spans="1:11" x14ac:dyDescent="0.3">
      <c r="A18" s="6"/>
      <c r="B18" s="6"/>
      <c r="C18" s="9"/>
      <c r="D18" s="16"/>
      <c r="E18" s="31">
        <f t="shared" si="2"/>
        <v>0</v>
      </c>
      <c r="F18" s="31">
        <f t="shared" si="1"/>
        <v>0</v>
      </c>
      <c r="G18" s="31">
        <f t="shared" si="0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10</v>
      </c>
      <c r="D19" s="17">
        <f>SUM(D13:D18)</f>
        <v>0</v>
      </c>
      <c r="E19" s="32">
        <f>SUM(E13:E18)</f>
        <v>250</v>
      </c>
      <c r="F19" s="32">
        <f>SUM(F13:F18)</f>
        <v>15000</v>
      </c>
      <c r="G19" s="32">
        <f>SUM(G13:G18)</f>
        <v>6000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</row>
    <row r="23" spans="1:11" x14ac:dyDescent="0.3">
      <c r="F23" s="26" t="s">
        <v>25</v>
      </c>
      <c r="G23" s="27">
        <f>SUMIF($B$13:$B$18,$F$23,G13:G18)</f>
        <v>6000</v>
      </c>
      <c r="H23" s="27">
        <f t="shared" ref="H23" si="4">SUMIF($B$13:$B$18,$F$23,H13:H18)</f>
        <v>5</v>
      </c>
      <c r="I23" s="27">
        <f>SUMIF($B$13:$B$18,$F$23,I13:I18)</f>
        <v>6480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I24" si="5">SUMIF($B$13:$B$18,$F$24,H13:H18)</f>
        <v>0</v>
      </c>
      <c r="I24" s="27">
        <f t="shared" si="5"/>
        <v>0</v>
      </c>
    </row>
    <row r="25" spans="1:11" x14ac:dyDescent="0.3">
      <c r="F25" s="8" t="s">
        <v>34</v>
      </c>
      <c r="G25" s="7">
        <f>SUM(G23:G24)</f>
        <v>6000</v>
      </c>
      <c r="H25" s="7">
        <f t="shared" ref="H25:I25" si="6">SUM(H23:H24)</f>
        <v>5</v>
      </c>
      <c r="I25" s="7">
        <f t="shared" si="6"/>
        <v>6480</v>
      </c>
    </row>
  </sheetData>
  <mergeCells count="1">
    <mergeCell ref="E11:G11"/>
  </mergeCells>
  <pageMargins left="0.25" right="0.25" top="0.75" bottom="0.75" header="0.3" footer="0.3"/>
  <pageSetup scale="79" fitToHeight="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6661D-80DE-49CE-9013-72DE93669D42}">
  <sheetPr>
    <pageSetUpPr fitToPage="1"/>
  </sheetPr>
  <dimension ref="A1:M25"/>
  <sheetViews>
    <sheetView showGridLines="0" topLeftCell="A4" zoomScaleNormal="100" workbookViewId="0">
      <selection sqref="A1:K25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15.8125</v>
      </c>
      <c r="C1" s="69">
        <v>16</v>
      </c>
      <c r="E1" s="5" t="s">
        <v>26</v>
      </c>
      <c r="F1" s="6">
        <v>506</v>
      </c>
      <c r="G1" s="6" t="s">
        <v>18</v>
      </c>
    </row>
    <row r="2" spans="1:11" x14ac:dyDescent="0.3">
      <c r="A2" s="6" t="s">
        <v>6</v>
      </c>
      <c r="B2" s="6">
        <v>32</v>
      </c>
      <c r="E2" s="5" t="s">
        <v>16</v>
      </c>
      <c r="F2" s="43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506</v>
      </c>
    </row>
    <row r="4" spans="1:11" x14ac:dyDescent="0.3">
      <c r="A4" s="6" t="s">
        <v>8</v>
      </c>
      <c r="B4" s="6">
        <v>5</v>
      </c>
    </row>
    <row r="5" spans="1:11" x14ac:dyDescent="0.3">
      <c r="A5" s="28" t="s">
        <v>1</v>
      </c>
      <c r="B5" s="29">
        <f>B3*B4</f>
        <v>2530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25300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10120</v>
      </c>
    </row>
    <row r="11" spans="1:11" x14ac:dyDescent="0.3">
      <c r="A11" s="1">
        <v>45448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100</v>
      </c>
      <c r="B13" s="6" t="s">
        <v>25</v>
      </c>
      <c r="C13" s="9">
        <v>11</v>
      </c>
      <c r="D13" s="16">
        <v>22</v>
      </c>
      <c r="E13" s="31">
        <f>(C13*$B$2)+D13</f>
        <v>374</v>
      </c>
      <c r="F13" s="31">
        <f>E13*$B$4*$B$6</f>
        <v>18700</v>
      </c>
      <c r="G13" s="31">
        <f>F13*$B$8</f>
        <v>7480</v>
      </c>
      <c r="H13" s="10">
        <v>8</v>
      </c>
      <c r="I13" s="20">
        <v>7560</v>
      </c>
      <c r="J13" s="33">
        <f>I13-G13-H13</f>
        <v>72</v>
      </c>
      <c r="K13" s="24" t="s">
        <v>19</v>
      </c>
    </row>
    <row r="14" spans="1:11" x14ac:dyDescent="0.3">
      <c r="A14" s="6" t="s">
        <v>101</v>
      </c>
      <c r="B14" s="6" t="s">
        <v>25</v>
      </c>
      <c r="C14" s="9">
        <v>3</v>
      </c>
      <c r="D14" s="16">
        <v>36</v>
      </c>
      <c r="E14" s="31">
        <f>(C14*$B$2)+D14</f>
        <v>132</v>
      </c>
      <c r="F14" s="31">
        <f t="shared" ref="F14:F18" si="0">E14*$B$4*$B$6</f>
        <v>6600</v>
      </c>
      <c r="G14" s="31">
        <f t="shared" ref="G14:G18" si="1">F14*$B$8</f>
        <v>2640</v>
      </c>
      <c r="H14" s="10"/>
      <c r="I14" s="21">
        <v>6480</v>
      </c>
      <c r="J14" s="33">
        <v>60</v>
      </c>
      <c r="K14" s="24" t="s">
        <v>19</v>
      </c>
    </row>
    <row r="15" spans="1:11" x14ac:dyDescent="0.3">
      <c r="A15" s="6"/>
      <c r="B15" s="6"/>
      <c r="C15" s="9"/>
      <c r="D15" s="16"/>
      <c r="E15" s="31">
        <f t="shared" ref="E15:E18" si="2">(C15*$B$2)+D15</f>
        <v>0</v>
      </c>
      <c r="F15" s="31">
        <f t="shared" si="0"/>
        <v>0</v>
      </c>
      <c r="G15" s="31">
        <f t="shared" si="1"/>
        <v>0</v>
      </c>
      <c r="H15" s="10"/>
      <c r="I15" s="21"/>
      <c r="J15" s="33">
        <v>3780</v>
      </c>
      <c r="K15" s="24" t="s">
        <v>102</v>
      </c>
    </row>
    <row r="16" spans="1:11" x14ac:dyDescent="0.3">
      <c r="A16" s="6"/>
      <c r="B16" s="6"/>
      <c r="C16" s="9"/>
      <c r="D16" s="16"/>
      <c r="E16" s="31">
        <f t="shared" si="2"/>
        <v>0</v>
      </c>
      <c r="F16" s="31">
        <f t="shared" si="0"/>
        <v>0</v>
      </c>
      <c r="G16" s="31">
        <f t="shared" si="1"/>
        <v>0</v>
      </c>
      <c r="H16" s="10"/>
      <c r="I16" s="21"/>
      <c r="J16" s="33">
        <f t="shared" ref="J16:J18" si="3">I16-G16-H16</f>
        <v>0</v>
      </c>
      <c r="K16" s="24"/>
    </row>
    <row r="17" spans="1:13" x14ac:dyDescent="0.3">
      <c r="A17" s="6"/>
      <c r="B17" s="6"/>
      <c r="C17" s="9"/>
      <c r="D17" s="16"/>
      <c r="E17" s="31">
        <f t="shared" si="2"/>
        <v>0</v>
      </c>
      <c r="F17" s="31">
        <f t="shared" si="0"/>
        <v>0</v>
      </c>
      <c r="G17" s="31">
        <f t="shared" si="1"/>
        <v>0</v>
      </c>
      <c r="H17" s="10"/>
      <c r="I17" s="21"/>
      <c r="J17" s="33">
        <f t="shared" si="3"/>
        <v>0</v>
      </c>
      <c r="K17" s="24"/>
    </row>
    <row r="18" spans="1:13" x14ac:dyDescent="0.3">
      <c r="A18" s="6"/>
      <c r="B18" s="6"/>
      <c r="C18" s="9"/>
      <c r="D18" s="16"/>
      <c r="E18" s="31">
        <f t="shared" si="2"/>
        <v>0</v>
      </c>
      <c r="F18" s="31">
        <f t="shared" si="0"/>
        <v>0</v>
      </c>
      <c r="G18" s="31">
        <f t="shared" si="1"/>
        <v>0</v>
      </c>
      <c r="H18" s="10"/>
      <c r="I18" s="21"/>
      <c r="J18" s="33">
        <f t="shared" si="3"/>
        <v>0</v>
      </c>
      <c r="K18" s="24"/>
    </row>
    <row r="19" spans="1:13" x14ac:dyDescent="0.3">
      <c r="A19" s="5" t="s">
        <v>11</v>
      </c>
      <c r="B19" s="6"/>
      <c r="C19" s="7">
        <f>SUM(C13:C18)</f>
        <v>14</v>
      </c>
      <c r="D19" s="17">
        <f>SUM(D13:D18)</f>
        <v>58</v>
      </c>
      <c r="E19" s="32">
        <f>SUM(E13:E18)</f>
        <v>506</v>
      </c>
      <c r="F19" s="32">
        <f>SUM(F13:F18)</f>
        <v>25300</v>
      </c>
      <c r="G19" s="32">
        <f>SUM(G13:G18)</f>
        <v>10120</v>
      </c>
      <c r="H19" s="11"/>
      <c r="I19" s="22"/>
      <c r="J19" s="34"/>
      <c r="K19" s="25"/>
    </row>
    <row r="20" spans="1:13" x14ac:dyDescent="0.3">
      <c r="E20" s="4">
        <f>E19/F1</f>
        <v>1</v>
      </c>
    </row>
    <row r="21" spans="1:13" x14ac:dyDescent="0.3">
      <c r="E21" s="4"/>
    </row>
    <row r="22" spans="1:13" x14ac:dyDescent="0.3">
      <c r="E22" s="4"/>
      <c r="F22" s="54" t="s">
        <v>12</v>
      </c>
      <c r="G22" s="54" t="s">
        <v>4</v>
      </c>
      <c r="H22" s="55" t="s">
        <v>14</v>
      </c>
      <c r="I22" s="56" t="s">
        <v>13</v>
      </c>
      <c r="M22">
        <f>45+45</f>
        <v>90</v>
      </c>
    </row>
    <row r="23" spans="1:13" x14ac:dyDescent="0.3">
      <c r="F23" s="26" t="s">
        <v>25</v>
      </c>
      <c r="G23" s="27">
        <f>SUMIF($B$13:$B$18,$F$23,G13:G18)</f>
        <v>10120</v>
      </c>
      <c r="H23" s="27">
        <f t="shared" ref="H23:I23" si="4">SUMIF($B$13:$B$18,$F$23,H13:H18)</f>
        <v>8</v>
      </c>
      <c r="I23" s="27">
        <f t="shared" si="4"/>
        <v>14040</v>
      </c>
    </row>
    <row r="24" spans="1:13" x14ac:dyDescent="0.3">
      <c r="F24" s="14" t="s">
        <v>27</v>
      </c>
      <c r="G24" s="27">
        <f>SUMIF($B$13:$B$18,$F$24,G13:G18)</f>
        <v>0</v>
      </c>
      <c r="H24" s="27">
        <f t="shared" ref="H24:I24" si="5">SUMIF($B$13:$B$18,$F$24,H13:H18)</f>
        <v>0</v>
      </c>
      <c r="I24" s="27">
        <f t="shared" si="5"/>
        <v>0</v>
      </c>
    </row>
    <row r="25" spans="1:13" x14ac:dyDescent="0.3">
      <c r="F25" s="8" t="s">
        <v>34</v>
      </c>
      <c r="G25" s="7">
        <f>SUM(G23:G24)</f>
        <v>10120</v>
      </c>
      <c r="H25" s="7">
        <f t="shared" ref="H25:I25" si="6">SUM(H23:H24)</f>
        <v>8</v>
      </c>
      <c r="I25" s="7">
        <f t="shared" si="6"/>
        <v>14040</v>
      </c>
    </row>
  </sheetData>
  <mergeCells count="1">
    <mergeCell ref="E11:G11"/>
  </mergeCells>
  <pageMargins left="0.25" right="0.25" top="0.75" bottom="0.75" header="0.3" footer="0.3"/>
  <pageSetup scale="76" fitToHeight="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704B-35EA-4357-A87C-4BA662CBAD0D}">
  <sheetPr>
    <pageSetUpPr fitToPage="1"/>
  </sheetPr>
  <dimension ref="A1:M82"/>
  <sheetViews>
    <sheetView showGridLines="0" zoomScaleNormal="100" workbookViewId="0">
      <selection activeCell="G5" sqref="G5"/>
    </sheetView>
  </sheetViews>
  <sheetFormatPr defaultRowHeight="14.4" x14ac:dyDescent="0.3"/>
  <cols>
    <col min="1" max="1" width="8.6640625" bestFit="1" customWidth="1"/>
    <col min="2" max="2" width="18.33203125" customWidth="1"/>
    <col min="3" max="3" width="28.88671875" bestFit="1" customWidth="1"/>
    <col min="7" max="7" width="12.44140625" bestFit="1" customWidth="1"/>
    <col min="9" max="9" width="12.44140625" bestFit="1" customWidth="1"/>
    <col min="11" max="11" width="13" customWidth="1"/>
    <col min="12" max="12" width="17.6640625" bestFit="1" customWidth="1"/>
    <col min="13" max="13" width="40.44140625" customWidth="1"/>
  </cols>
  <sheetData>
    <row r="1" spans="1:13" x14ac:dyDescent="0.3">
      <c r="C1" s="93" t="s">
        <v>3</v>
      </c>
      <c r="D1" s="93">
        <f>E30+(F30/D2)</f>
        <v>0</v>
      </c>
      <c r="E1" s="94"/>
      <c r="F1" s="94"/>
      <c r="G1" s="95" t="s">
        <v>26</v>
      </c>
      <c r="H1" s="96">
        <v>350</v>
      </c>
      <c r="I1" s="96" t="s">
        <v>18</v>
      </c>
      <c r="J1" s="94"/>
      <c r="K1" s="94"/>
      <c r="L1" s="94"/>
      <c r="M1" s="94"/>
    </row>
    <row r="2" spans="1:13" x14ac:dyDescent="0.3">
      <c r="C2" s="96" t="s">
        <v>6</v>
      </c>
      <c r="D2" s="96">
        <v>32</v>
      </c>
      <c r="E2" s="94"/>
      <c r="F2" s="94"/>
      <c r="G2" s="95" t="s">
        <v>16</v>
      </c>
      <c r="H2" s="97">
        <f>H1-D3</f>
        <v>350</v>
      </c>
      <c r="I2" s="96" t="s">
        <v>18</v>
      </c>
      <c r="J2" s="94"/>
      <c r="K2" s="94"/>
      <c r="L2" s="94"/>
      <c r="M2" s="94"/>
    </row>
    <row r="3" spans="1:13" x14ac:dyDescent="0.3">
      <c r="C3" s="93" t="s">
        <v>0</v>
      </c>
      <c r="D3" s="76">
        <f>D1*D2</f>
        <v>0</v>
      </c>
      <c r="E3" s="94"/>
      <c r="F3" s="94"/>
      <c r="G3" s="94"/>
      <c r="H3" s="94"/>
      <c r="I3" s="94"/>
      <c r="J3" s="94"/>
      <c r="K3" s="94"/>
      <c r="L3" s="94"/>
      <c r="M3" s="94"/>
    </row>
    <row r="4" spans="1:13" x14ac:dyDescent="0.3">
      <c r="C4" s="96" t="s">
        <v>8</v>
      </c>
      <c r="D4" s="96">
        <v>4</v>
      </c>
      <c r="E4" s="94"/>
      <c r="F4" s="94"/>
      <c r="G4" s="94"/>
      <c r="H4" s="94"/>
      <c r="I4" s="94"/>
      <c r="J4" s="94"/>
      <c r="K4" s="94"/>
      <c r="L4" s="94"/>
      <c r="M4" s="94"/>
    </row>
    <row r="5" spans="1:13" x14ac:dyDescent="0.3">
      <c r="C5" s="93" t="s">
        <v>1</v>
      </c>
      <c r="D5" s="76">
        <f>D3*D4</f>
        <v>0</v>
      </c>
      <c r="E5" s="94"/>
      <c r="F5" s="94"/>
      <c r="G5" s="94"/>
      <c r="H5" s="94"/>
      <c r="I5" s="94"/>
      <c r="J5" s="94"/>
      <c r="K5" s="94"/>
      <c r="L5" s="94"/>
      <c r="M5" s="94"/>
    </row>
    <row r="6" spans="1:13" x14ac:dyDescent="0.3">
      <c r="C6" s="96" t="s">
        <v>9</v>
      </c>
      <c r="D6" s="96">
        <v>10</v>
      </c>
      <c r="E6" s="94"/>
      <c r="F6" s="94"/>
      <c r="G6" s="94"/>
      <c r="H6" s="94"/>
      <c r="I6" s="94"/>
      <c r="J6" s="94"/>
      <c r="K6" s="94"/>
      <c r="L6" s="94"/>
      <c r="M6" s="94"/>
    </row>
    <row r="7" spans="1:13" x14ac:dyDescent="0.3">
      <c r="C7" s="93" t="s">
        <v>2</v>
      </c>
      <c r="D7" s="76">
        <f>D5*D6</f>
        <v>0</v>
      </c>
      <c r="E7" s="94"/>
      <c r="F7" s="94"/>
      <c r="G7" s="94"/>
      <c r="H7" s="94"/>
      <c r="I7" s="94"/>
      <c r="J7" s="94"/>
      <c r="K7" s="94"/>
      <c r="L7" s="94"/>
      <c r="M7" s="94"/>
    </row>
    <row r="8" spans="1:13" x14ac:dyDescent="0.3">
      <c r="C8" s="96" t="s">
        <v>7</v>
      </c>
      <c r="D8" s="96">
        <v>0.39700000000000002</v>
      </c>
      <c r="E8" s="94"/>
      <c r="F8" s="94"/>
      <c r="G8" s="94"/>
      <c r="H8" s="94"/>
      <c r="I8" s="94"/>
      <c r="J8" s="94"/>
      <c r="K8" s="94"/>
      <c r="L8" s="94"/>
      <c r="M8" s="94"/>
    </row>
    <row r="9" spans="1:13" x14ac:dyDescent="0.3">
      <c r="C9" s="93" t="s">
        <v>4</v>
      </c>
      <c r="D9" s="76">
        <f>D7*D8</f>
        <v>0</v>
      </c>
      <c r="E9" s="94"/>
      <c r="F9" s="94"/>
      <c r="G9" s="94"/>
      <c r="H9" s="94"/>
      <c r="I9" s="94"/>
      <c r="J9" s="94"/>
      <c r="K9" s="94"/>
      <c r="L9" s="94"/>
      <c r="M9" s="94"/>
    </row>
    <row r="11" spans="1:13" x14ac:dyDescent="0.3">
      <c r="C11" s="1">
        <v>45252</v>
      </c>
      <c r="D11" s="12"/>
      <c r="E11" s="98"/>
      <c r="F11" s="98"/>
      <c r="G11" s="234" t="s">
        <v>12</v>
      </c>
      <c r="H11" s="234"/>
      <c r="I11" s="234" t="s">
        <v>12</v>
      </c>
      <c r="J11" s="18" t="s">
        <v>56</v>
      </c>
      <c r="K11" s="19" t="s">
        <v>13</v>
      </c>
      <c r="L11" s="30" t="s">
        <v>15</v>
      </c>
      <c r="M11" s="18" t="s">
        <v>17</v>
      </c>
    </row>
    <row r="12" spans="1:13" x14ac:dyDescent="0.3">
      <c r="A12" t="s">
        <v>59</v>
      </c>
      <c r="C12" s="13" t="s">
        <v>24</v>
      </c>
      <c r="D12" s="13" t="s">
        <v>20</v>
      </c>
      <c r="E12" s="100" t="s">
        <v>3</v>
      </c>
      <c r="F12" s="101" t="s">
        <v>10</v>
      </c>
      <c r="G12" s="99" t="s">
        <v>11</v>
      </c>
      <c r="H12" s="99" t="s">
        <v>5</v>
      </c>
      <c r="I12" s="99" t="s">
        <v>4</v>
      </c>
      <c r="J12" s="18" t="s">
        <v>4</v>
      </c>
      <c r="K12" s="19" t="s">
        <v>4</v>
      </c>
      <c r="L12" s="30" t="s">
        <v>4</v>
      </c>
      <c r="M12" s="23"/>
    </row>
    <row r="13" spans="1:13" x14ac:dyDescent="0.3">
      <c r="A13" s="235">
        <v>1</v>
      </c>
      <c r="B13" t="s">
        <v>57</v>
      </c>
      <c r="C13" s="6" t="s">
        <v>53</v>
      </c>
      <c r="D13" s="6" t="s">
        <v>25</v>
      </c>
      <c r="E13" s="102"/>
      <c r="F13" s="103"/>
      <c r="G13" s="104">
        <f>(E13*$D$2)+F13</f>
        <v>0</v>
      </c>
      <c r="H13" s="104">
        <f>G13*$D$4*$D$6</f>
        <v>0</v>
      </c>
      <c r="I13" s="104">
        <f>H13*$D$8</f>
        <v>0</v>
      </c>
      <c r="J13" s="10">
        <v>43</v>
      </c>
      <c r="K13" s="20">
        <v>54</v>
      </c>
      <c r="L13" s="33">
        <f>K13-I13-J13</f>
        <v>11</v>
      </c>
      <c r="M13" s="24" t="s">
        <v>35</v>
      </c>
    </row>
    <row r="14" spans="1:13" x14ac:dyDescent="0.3">
      <c r="A14" s="235"/>
      <c r="B14" t="s">
        <v>57</v>
      </c>
      <c r="C14" s="6" t="s">
        <v>54</v>
      </c>
      <c r="D14" s="6" t="s">
        <v>25</v>
      </c>
      <c r="E14" s="102"/>
      <c r="F14" s="103"/>
      <c r="G14" s="104">
        <f>(E14*$D$2)+F14</f>
        <v>0</v>
      </c>
      <c r="H14" s="104">
        <f t="shared" ref="H14:H18" si="0">G14*$D$4*$D$6</f>
        <v>0</v>
      </c>
      <c r="I14" s="104">
        <f t="shared" ref="I14:I18" si="1">H14*$D$8</f>
        <v>0</v>
      </c>
      <c r="J14" s="10">
        <v>12</v>
      </c>
      <c r="K14" s="21">
        <v>48</v>
      </c>
      <c r="L14" s="33">
        <f>K14-I14-J14</f>
        <v>36</v>
      </c>
      <c r="M14" s="24"/>
    </row>
    <row r="15" spans="1:13" x14ac:dyDescent="0.3">
      <c r="C15" s="6"/>
      <c r="D15" s="6"/>
      <c r="E15" s="102"/>
      <c r="F15" s="103"/>
      <c r="G15" s="104">
        <f t="shared" ref="G15:G18" si="2">(E15*$D$2)+F15</f>
        <v>0</v>
      </c>
      <c r="H15" s="104">
        <f t="shared" si="0"/>
        <v>0</v>
      </c>
      <c r="I15" s="104">
        <f t="shared" si="1"/>
        <v>0</v>
      </c>
      <c r="J15" s="10"/>
      <c r="K15" s="21"/>
      <c r="L15" s="33"/>
      <c r="M15" s="24"/>
    </row>
    <row r="16" spans="1:13" x14ac:dyDescent="0.3">
      <c r="A16" s="235">
        <v>2</v>
      </c>
      <c r="B16" t="s">
        <v>57</v>
      </c>
      <c r="C16" s="6" t="s">
        <v>54</v>
      </c>
      <c r="D16" s="6" t="s">
        <v>25</v>
      </c>
      <c r="E16" s="102"/>
      <c r="F16" s="103"/>
      <c r="G16" s="104">
        <f t="shared" si="2"/>
        <v>0</v>
      </c>
      <c r="H16" s="104">
        <f t="shared" si="0"/>
        <v>0</v>
      </c>
      <c r="I16" s="104">
        <f t="shared" si="1"/>
        <v>0</v>
      </c>
      <c r="J16" s="10">
        <v>42</v>
      </c>
      <c r="K16" s="21">
        <v>36</v>
      </c>
      <c r="L16" s="33">
        <f t="shared" ref="L16:L19" si="3">K16-I16-J16</f>
        <v>-6</v>
      </c>
      <c r="M16" s="24" t="s">
        <v>28</v>
      </c>
    </row>
    <row r="17" spans="1:13" x14ac:dyDescent="0.3">
      <c r="A17" s="235"/>
      <c r="B17" t="s">
        <v>57</v>
      </c>
      <c r="C17" s="6" t="s">
        <v>55</v>
      </c>
      <c r="D17" s="6"/>
      <c r="E17" s="102"/>
      <c r="F17" s="103"/>
      <c r="G17" s="104">
        <f t="shared" si="2"/>
        <v>0</v>
      </c>
      <c r="H17" s="104">
        <f t="shared" si="0"/>
        <v>0</v>
      </c>
      <c r="I17" s="104">
        <f t="shared" si="1"/>
        <v>0</v>
      </c>
      <c r="J17" s="10">
        <v>13</v>
      </c>
      <c r="K17" s="21">
        <v>1620</v>
      </c>
      <c r="L17" s="33">
        <f t="shared" si="3"/>
        <v>1607</v>
      </c>
      <c r="M17" s="24"/>
    </row>
    <row r="18" spans="1:13" x14ac:dyDescent="0.3">
      <c r="C18" s="6"/>
      <c r="D18" s="6"/>
      <c r="E18" s="102"/>
      <c r="F18" s="103"/>
      <c r="G18" s="104">
        <f t="shared" si="2"/>
        <v>0</v>
      </c>
      <c r="H18" s="104">
        <f t="shared" si="0"/>
        <v>0</v>
      </c>
      <c r="I18" s="104">
        <f t="shared" si="1"/>
        <v>0</v>
      </c>
      <c r="J18" s="10"/>
      <c r="K18" s="21"/>
      <c r="L18" s="33">
        <f t="shared" si="3"/>
        <v>0</v>
      </c>
      <c r="M18" s="24"/>
    </row>
    <row r="19" spans="1:13" x14ac:dyDescent="0.3">
      <c r="A19">
        <v>3</v>
      </c>
      <c r="B19" t="s">
        <v>57</v>
      </c>
      <c r="C19" s="6" t="s">
        <v>55</v>
      </c>
      <c r="D19" s="6" t="s">
        <v>25</v>
      </c>
      <c r="E19" s="102"/>
      <c r="F19" s="103"/>
      <c r="G19" s="104"/>
      <c r="H19" s="104"/>
      <c r="I19" s="104"/>
      <c r="J19" s="10">
        <v>55</v>
      </c>
      <c r="K19" s="21">
        <v>1607</v>
      </c>
      <c r="L19" s="33">
        <f t="shared" si="3"/>
        <v>1552</v>
      </c>
      <c r="M19" s="24" t="s">
        <v>52</v>
      </c>
    </row>
    <row r="20" spans="1:13" x14ac:dyDescent="0.3">
      <c r="C20" s="6"/>
      <c r="D20" s="6"/>
      <c r="E20" s="102"/>
      <c r="F20" s="103"/>
      <c r="G20" s="104"/>
      <c r="H20" s="104"/>
      <c r="I20" s="104"/>
      <c r="J20" s="10"/>
      <c r="K20" s="21"/>
      <c r="L20" s="33"/>
      <c r="M20" s="24"/>
    </row>
    <row r="21" spans="1:13" x14ac:dyDescent="0.3">
      <c r="A21">
        <v>4</v>
      </c>
      <c r="B21" t="s">
        <v>57</v>
      </c>
      <c r="C21" s="6" t="s">
        <v>55</v>
      </c>
      <c r="D21" s="6" t="s">
        <v>25</v>
      </c>
      <c r="E21" s="102"/>
      <c r="F21" s="103"/>
      <c r="G21" s="104"/>
      <c r="H21" s="104"/>
      <c r="I21" s="104"/>
      <c r="J21" s="10">
        <v>55</v>
      </c>
      <c r="K21" s="21"/>
      <c r="L21" s="33"/>
      <c r="M21" s="24"/>
    </row>
    <row r="22" spans="1:13" x14ac:dyDescent="0.3">
      <c r="C22" s="6"/>
      <c r="D22" s="6"/>
      <c r="E22" s="102"/>
      <c r="F22" s="103"/>
      <c r="G22" s="104"/>
      <c r="H22" s="104"/>
      <c r="I22" s="104"/>
      <c r="J22" s="10"/>
      <c r="K22" s="21"/>
      <c r="L22" s="33"/>
      <c r="M22" s="24"/>
    </row>
    <row r="23" spans="1:13" x14ac:dyDescent="0.3">
      <c r="A23">
        <v>5</v>
      </c>
      <c r="B23" t="s">
        <v>57</v>
      </c>
      <c r="C23" s="6" t="s">
        <v>55</v>
      </c>
      <c r="D23" s="6" t="s">
        <v>25</v>
      </c>
      <c r="E23" s="102"/>
      <c r="F23" s="103"/>
      <c r="G23" s="104"/>
      <c r="H23" s="104"/>
      <c r="I23" s="104"/>
      <c r="J23" s="10">
        <v>55</v>
      </c>
      <c r="K23" s="21"/>
      <c r="L23" s="33"/>
      <c r="M23" s="24"/>
    </row>
    <row r="24" spans="1:13" x14ac:dyDescent="0.3">
      <c r="C24" s="6"/>
      <c r="D24" s="6"/>
      <c r="E24" s="102"/>
      <c r="F24" s="103"/>
      <c r="G24" s="104"/>
      <c r="H24" s="104"/>
      <c r="I24" s="104"/>
      <c r="J24" s="10"/>
      <c r="K24" s="21"/>
      <c r="L24" s="33"/>
      <c r="M24" s="24"/>
    </row>
    <row r="25" spans="1:13" x14ac:dyDescent="0.3">
      <c r="A25">
        <v>6</v>
      </c>
      <c r="B25" t="s">
        <v>57</v>
      </c>
      <c r="C25" s="6" t="s">
        <v>55</v>
      </c>
      <c r="D25" s="6" t="s">
        <v>25</v>
      </c>
      <c r="E25" s="102"/>
      <c r="F25" s="103"/>
      <c r="G25" s="104"/>
      <c r="H25" s="104"/>
      <c r="I25" s="104"/>
      <c r="J25" s="10">
        <v>55</v>
      </c>
      <c r="K25" s="21"/>
      <c r="L25" s="33"/>
      <c r="M25" s="24"/>
    </row>
    <row r="26" spans="1:13" x14ac:dyDescent="0.3">
      <c r="C26" s="6"/>
      <c r="D26" s="6"/>
      <c r="E26" s="102"/>
      <c r="F26" s="103"/>
      <c r="G26" s="104"/>
      <c r="H26" s="104"/>
      <c r="I26" s="104"/>
      <c r="J26" s="10"/>
      <c r="K26" s="21"/>
      <c r="L26" s="33"/>
      <c r="M26" s="24"/>
    </row>
    <row r="27" spans="1:13" x14ac:dyDescent="0.3">
      <c r="A27">
        <v>7</v>
      </c>
      <c r="B27" t="s">
        <v>57</v>
      </c>
      <c r="C27" s="6" t="s">
        <v>55</v>
      </c>
      <c r="D27" s="6" t="s">
        <v>25</v>
      </c>
      <c r="E27" s="102"/>
      <c r="F27" s="103"/>
      <c r="G27" s="104"/>
      <c r="H27" s="104"/>
      <c r="I27" s="104"/>
      <c r="J27" s="10">
        <v>55</v>
      </c>
      <c r="K27" s="21"/>
      <c r="L27" s="33"/>
      <c r="M27" s="24"/>
    </row>
    <row r="28" spans="1:13" x14ac:dyDescent="0.3">
      <c r="C28" s="6"/>
      <c r="D28" s="6"/>
      <c r="E28" s="102"/>
      <c r="F28" s="103"/>
      <c r="G28" s="104"/>
      <c r="H28" s="104"/>
      <c r="I28" s="104"/>
      <c r="J28" s="10"/>
      <c r="K28" s="21"/>
      <c r="L28" s="33"/>
      <c r="M28" s="24"/>
    </row>
    <row r="29" spans="1:13" x14ac:dyDescent="0.3">
      <c r="A29">
        <v>8</v>
      </c>
      <c r="B29" t="s">
        <v>60</v>
      </c>
      <c r="C29" s="6" t="s">
        <v>55</v>
      </c>
      <c r="D29" s="6" t="s">
        <v>25</v>
      </c>
      <c r="E29" s="102"/>
      <c r="F29" s="103"/>
      <c r="G29" s="104"/>
      <c r="H29" s="104"/>
      <c r="I29" s="104"/>
      <c r="J29" s="10">
        <v>55</v>
      </c>
      <c r="K29" s="21">
        <v>1607</v>
      </c>
      <c r="L29" s="33">
        <f t="shared" ref="L29" si="4">K29-I29-J29</f>
        <v>1552</v>
      </c>
      <c r="M29" s="24" t="s">
        <v>52</v>
      </c>
    </row>
    <row r="30" spans="1:13" x14ac:dyDescent="0.3">
      <c r="C30" s="5" t="s">
        <v>11</v>
      </c>
      <c r="D30" s="6"/>
      <c r="E30" s="7">
        <f>SUM(E13:E18)</f>
        <v>0</v>
      </c>
      <c r="F30" s="17">
        <f>SUM(F13:F18)</f>
        <v>0</v>
      </c>
      <c r="G30" s="32">
        <f>SUM(G13:G18)</f>
        <v>0</v>
      </c>
      <c r="H30" s="32">
        <f>SUM(H13:H18)</f>
        <v>0</v>
      </c>
      <c r="I30" s="32">
        <f>SUM(I13:I18)</f>
        <v>0</v>
      </c>
      <c r="J30" s="10"/>
      <c r="K30" s="22"/>
      <c r="L30" s="34"/>
      <c r="M30" s="25"/>
    </row>
    <row r="31" spans="1:13" x14ac:dyDescent="0.3">
      <c r="G31" s="4">
        <f>G30/H1</f>
        <v>0</v>
      </c>
      <c r="J31" s="44">
        <f>SUM(J13:J29)</f>
        <v>440</v>
      </c>
    </row>
    <row r="32" spans="1:13" x14ac:dyDescent="0.3">
      <c r="G32" s="4"/>
      <c r="J32" s="44"/>
    </row>
    <row r="33" spans="9:13" x14ac:dyDescent="0.3">
      <c r="I33" s="54" t="s">
        <v>12</v>
      </c>
      <c r="J33" s="54" t="s">
        <v>4</v>
      </c>
      <c r="K33" s="55" t="s">
        <v>14</v>
      </c>
      <c r="L33" s="56" t="s">
        <v>13</v>
      </c>
      <c r="M33" s="54" t="s">
        <v>15</v>
      </c>
    </row>
    <row r="34" spans="9:13" x14ac:dyDescent="0.3">
      <c r="I34" s="6" t="s">
        <v>53</v>
      </c>
      <c r="J34" s="27">
        <f>SUMIF(C13:C29,I34,$J$13:$J$29)</f>
        <v>43</v>
      </c>
      <c r="K34" s="27">
        <f>SUMIF($B$13:$B$18,$F$23,I23:I28)</f>
        <v>0</v>
      </c>
      <c r="L34" s="27">
        <f>SUMIF($B$13:$B$18,$F$23,J23:J28)</f>
        <v>0</v>
      </c>
      <c r="M34" s="27">
        <f>SUMIF($B$13:$B$18,$F$23,K23:K28)</f>
        <v>0</v>
      </c>
    </row>
    <row r="35" spans="9:13" x14ac:dyDescent="0.3">
      <c r="I35" s="6" t="s">
        <v>54</v>
      </c>
      <c r="J35" s="27">
        <f>SUMIF(C13:C29,I35,$J$13:$J$29)</f>
        <v>54</v>
      </c>
      <c r="K35" s="27">
        <f>SUMIF($B$13:$B$18,$F$24,I23:I28)</f>
        <v>0</v>
      </c>
      <c r="L35" s="27">
        <f>SUMIF($B$13:$B$18,$F$24,J23:J28)</f>
        <v>0</v>
      </c>
      <c r="M35" s="27">
        <f>SUMIF($B$13:$B$18,$F$24,K23:K28)</f>
        <v>0</v>
      </c>
    </row>
    <row r="36" spans="9:13" x14ac:dyDescent="0.3">
      <c r="I36" s="6" t="s">
        <v>55</v>
      </c>
      <c r="J36" s="27">
        <f>SUMIF(C13:C29,I36,$J$13:$J$29)</f>
        <v>343</v>
      </c>
      <c r="K36" s="7">
        <f t="shared" ref="K36:M36" si="5">SUM(K34:K35)</f>
        <v>0</v>
      </c>
      <c r="L36" s="7">
        <f t="shared" si="5"/>
        <v>0</v>
      </c>
      <c r="M36" s="7">
        <f t="shared" si="5"/>
        <v>0</v>
      </c>
    </row>
    <row r="37" spans="9:13" x14ac:dyDescent="0.3">
      <c r="J37" s="44">
        <f>SUM(J34:J36)</f>
        <v>440</v>
      </c>
    </row>
    <row r="39" spans="9:13" x14ac:dyDescent="0.3">
      <c r="J39" t="s">
        <v>61</v>
      </c>
      <c r="K39" t="s">
        <v>58</v>
      </c>
    </row>
    <row r="40" spans="9:13" x14ac:dyDescent="0.3">
      <c r="I40" t="s">
        <v>57</v>
      </c>
      <c r="J40" s="27">
        <f>SUMIF($B$13:B29,I40,$J$13:$J$29)</f>
        <v>385</v>
      </c>
      <c r="K40" s="105">
        <v>381.18811499999998</v>
      </c>
    </row>
    <row r="41" spans="9:13" x14ac:dyDescent="0.3">
      <c r="I41" t="s">
        <v>60</v>
      </c>
      <c r="J41" s="27">
        <f ca="1">SUMIF($B$13:B30,I41,$J$13:$J$29)</f>
        <v>55</v>
      </c>
    </row>
    <row r="42" spans="9:13" x14ac:dyDescent="0.3">
      <c r="J42" s="44">
        <f ca="1">SUM(J40:J41)</f>
        <v>440</v>
      </c>
    </row>
    <row r="55" spans="1:13" x14ac:dyDescent="0.3">
      <c r="C55" s="1">
        <v>45252</v>
      </c>
      <c r="D55" s="12"/>
      <c r="E55" s="98"/>
      <c r="F55" s="98"/>
      <c r="G55" s="234" t="s">
        <v>12</v>
      </c>
      <c r="H55" s="234"/>
      <c r="I55" s="234" t="s">
        <v>12</v>
      </c>
      <c r="J55" s="18" t="s">
        <v>56</v>
      </c>
      <c r="K55" s="19" t="s">
        <v>13</v>
      </c>
      <c r="L55" s="30" t="s">
        <v>15</v>
      </c>
      <c r="M55" s="18" t="s">
        <v>17</v>
      </c>
    </row>
    <row r="56" spans="1:13" x14ac:dyDescent="0.3">
      <c r="A56" t="s">
        <v>59</v>
      </c>
      <c r="C56" s="13" t="s">
        <v>24</v>
      </c>
      <c r="D56" s="13" t="s">
        <v>20</v>
      </c>
      <c r="E56" s="100" t="s">
        <v>3</v>
      </c>
      <c r="F56" s="101" t="s">
        <v>10</v>
      </c>
      <c r="G56" s="99" t="s">
        <v>11</v>
      </c>
      <c r="H56" s="99" t="s">
        <v>5</v>
      </c>
      <c r="I56" s="99" t="s">
        <v>4</v>
      </c>
      <c r="J56" s="18" t="s">
        <v>4</v>
      </c>
      <c r="K56" s="19" t="s">
        <v>4</v>
      </c>
      <c r="L56" s="30" t="s">
        <v>4</v>
      </c>
      <c r="M56" s="23"/>
    </row>
    <row r="57" spans="1:13" x14ac:dyDescent="0.3">
      <c r="A57" s="235">
        <v>1</v>
      </c>
      <c r="B57" t="s">
        <v>60</v>
      </c>
      <c r="C57" s="6" t="s">
        <v>55</v>
      </c>
      <c r="D57" s="6" t="s">
        <v>25</v>
      </c>
      <c r="E57" s="102"/>
      <c r="F57" s="103"/>
      <c r="G57" s="104">
        <f>(E57*$D$2)+F57</f>
        <v>0</v>
      </c>
      <c r="H57" s="104">
        <f>G57*$D$4*$D$6</f>
        <v>0</v>
      </c>
      <c r="I57" s="104">
        <f>H57*$D$8</f>
        <v>0</v>
      </c>
      <c r="J57" s="10">
        <f>180*4</f>
        <v>720</v>
      </c>
      <c r="K57" s="20">
        <v>1552</v>
      </c>
      <c r="L57" s="33">
        <f>K57-I57-J57</f>
        <v>832</v>
      </c>
      <c r="M57" s="24" t="s">
        <v>52</v>
      </c>
    </row>
    <row r="58" spans="1:13" x14ac:dyDescent="0.3">
      <c r="A58" s="235"/>
      <c r="C58" s="6"/>
      <c r="D58" s="6" t="s">
        <v>25</v>
      </c>
      <c r="E58" s="102"/>
      <c r="F58" s="103"/>
      <c r="G58" s="104">
        <f>(E58*$D$2)+F58</f>
        <v>0</v>
      </c>
      <c r="H58" s="104">
        <f t="shared" ref="H58" si="6">G58*$D$4*$D$6</f>
        <v>0</v>
      </c>
      <c r="I58" s="104">
        <f t="shared" ref="I58" si="7">H58*$D$8</f>
        <v>0</v>
      </c>
      <c r="J58" s="10"/>
      <c r="K58" s="21"/>
      <c r="L58" s="33">
        <f>K58-I58-J58</f>
        <v>0</v>
      </c>
      <c r="M58" s="24"/>
    </row>
    <row r="59" spans="1:13" x14ac:dyDescent="0.3">
      <c r="A59">
        <v>7</v>
      </c>
      <c r="C59" s="6"/>
      <c r="D59" s="6" t="s">
        <v>25</v>
      </c>
      <c r="E59" s="102"/>
      <c r="F59" s="103"/>
      <c r="G59" s="104"/>
      <c r="H59" s="104"/>
      <c r="I59" s="104"/>
      <c r="J59" s="10"/>
      <c r="K59" s="21"/>
      <c r="L59" s="33"/>
      <c r="M59" s="24"/>
    </row>
    <row r="60" spans="1:13" x14ac:dyDescent="0.3">
      <c r="C60" s="6"/>
      <c r="D60" s="6"/>
      <c r="E60" s="102"/>
      <c r="F60" s="103"/>
      <c r="G60" s="104"/>
      <c r="H60" s="104"/>
      <c r="I60" s="104"/>
      <c r="J60" s="10"/>
      <c r="K60" s="21"/>
      <c r="L60" s="33"/>
      <c r="M60" s="24"/>
    </row>
    <row r="61" spans="1:13" x14ac:dyDescent="0.3">
      <c r="A61">
        <v>8</v>
      </c>
      <c r="C61" s="6"/>
      <c r="D61" s="6" t="s">
        <v>25</v>
      </c>
      <c r="E61" s="102"/>
      <c r="F61" s="103"/>
      <c r="G61" s="104"/>
      <c r="H61" s="104"/>
      <c r="I61" s="104"/>
      <c r="J61" s="10"/>
      <c r="K61" s="21">
        <v>1607</v>
      </c>
      <c r="L61" s="33">
        <f t="shared" ref="L61" si="8">K61-I61-J61</f>
        <v>1607</v>
      </c>
      <c r="M61" s="24" t="s">
        <v>52</v>
      </c>
    </row>
    <row r="62" spans="1:13" x14ac:dyDescent="0.3">
      <c r="C62" s="5" t="s">
        <v>11</v>
      </c>
      <c r="D62" s="6"/>
      <c r="E62" s="7">
        <f>SUM(E57:E58)</f>
        <v>0</v>
      </c>
      <c r="F62" s="17">
        <f>SUM(F57:F58)</f>
        <v>0</v>
      </c>
      <c r="G62" s="32">
        <f>SUM(G57:G58)</f>
        <v>0</v>
      </c>
      <c r="H62" s="32">
        <f>SUM(H57:H58)</f>
        <v>0</v>
      </c>
      <c r="I62" s="32">
        <f>SUM(I57:I58)</f>
        <v>0</v>
      </c>
      <c r="J62" s="10"/>
      <c r="K62" s="22"/>
      <c r="L62" s="34"/>
      <c r="M62" s="25"/>
    </row>
    <row r="63" spans="1:13" x14ac:dyDescent="0.3">
      <c r="G63" s="4" t="e">
        <f>G62/H45</f>
        <v>#DIV/0!</v>
      </c>
      <c r="J63" s="44">
        <f>SUM(J57:J61)</f>
        <v>720</v>
      </c>
    </row>
    <row r="64" spans="1:13" x14ac:dyDescent="0.3">
      <c r="G64" s="4"/>
      <c r="J64" s="44"/>
    </row>
    <row r="65" spans="9:13" x14ac:dyDescent="0.3">
      <c r="I65" s="54" t="s">
        <v>12</v>
      </c>
      <c r="J65" s="54" t="s">
        <v>4</v>
      </c>
      <c r="K65" s="55" t="s">
        <v>14</v>
      </c>
      <c r="L65" s="56" t="s">
        <v>13</v>
      </c>
      <c r="M65" s="54" t="s">
        <v>15</v>
      </c>
    </row>
    <row r="66" spans="9:13" x14ac:dyDescent="0.3">
      <c r="I66" s="6" t="s">
        <v>53</v>
      </c>
      <c r="J66" s="27">
        <f>SUMIF(C57:C61,I66,$J$57:$J$61)</f>
        <v>0</v>
      </c>
      <c r="K66" s="27">
        <f ca="1">SUMIF($B$13:$B$18,$F$23,I59:I60)</f>
        <v>0</v>
      </c>
      <c r="L66" s="27">
        <f ca="1">SUMIF($B$13:$B$18,$F$23,J59:J60)</f>
        <v>0</v>
      </c>
      <c r="M66" s="27">
        <f ca="1">SUMIF($B$13:$B$18,$F$23,K59:K60)</f>
        <v>0</v>
      </c>
    </row>
    <row r="67" spans="9:13" x14ac:dyDescent="0.3">
      <c r="I67" s="6" t="s">
        <v>54</v>
      </c>
      <c r="J67" s="27">
        <f>SUMIF(C57:C61,I67,$J$57:$J$61)</f>
        <v>0</v>
      </c>
      <c r="K67" s="27">
        <f ca="1">SUMIF($B$13:$B$18,$F$24,I59:I60)</f>
        <v>0</v>
      </c>
      <c r="L67" s="27">
        <f ca="1">SUMIF($B$13:$B$18,$F$24,J59:J60)</f>
        <v>0</v>
      </c>
      <c r="M67" s="27">
        <f ca="1">SUMIF($B$13:$B$18,$F$24,K59:K60)</f>
        <v>0</v>
      </c>
    </row>
    <row r="68" spans="9:13" x14ac:dyDescent="0.3">
      <c r="I68" s="6" t="s">
        <v>55</v>
      </c>
      <c r="J68" s="27">
        <f>SUMIF(C57:C61,I68,$J$57:$J$61)</f>
        <v>720</v>
      </c>
      <c r="K68" s="7">
        <f t="shared" ref="K68:M68" ca="1" si="9">SUM(K66:K67)</f>
        <v>0</v>
      </c>
      <c r="L68" s="7">
        <f t="shared" ca="1" si="9"/>
        <v>0</v>
      </c>
      <c r="M68" s="7">
        <f t="shared" ca="1" si="9"/>
        <v>0</v>
      </c>
    </row>
    <row r="69" spans="9:13" x14ac:dyDescent="0.3">
      <c r="J69" s="44">
        <f>SUM(J66:J68)</f>
        <v>720</v>
      </c>
    </row>
    <row r="71" spans="9:13" x14ac:dyDescent="0.3">
      <c r="J71" t="s">
        <v>61</v>
      </c>
      <c r="K71" t="s">
        <v>58</v>
      </c>
    </row>
    <row r="72" spans="9:13" x14ac:dyDescent="0.3">
      <c r="I72" t="s">
        <v>57</v>
      </c>
      <c r="J72" s="27">
        <f>SUMIF($B$57:B61,I72,$J$58:$J$62)</f>
        <v>0</v>
      </c>
      <c r="K72" s="105">
        <v>381.18811499999998</v>
      </c>
    </row>
    <row r="73" spans="9:13" x14ac:dyDescent="0.3">
      <c r="I73" t="s">
        <v>60</v>
      </c>
      <c r="J73" s="27">
        <f ca="1">SUMIF($B$57:B62,I73,$J$57:$J$61)</f>
        <v>720</v>
      </c>
    </row>
    <row r="74" spans="9:13" x14ac:dyDescent="0.3">
      <c r="J74" s="44">
        <f ca="1">SUM(J72:J73)</f>
        <v>720</v>
      </c>
    </row>
    <row r="79" spans="9:13" x14ac:dyDescent="0.3">
      <c r="I79" s="106"/>
      <c r="J79" s="106" t="s">
        <v>61</v>
      </c>
      <c r="K79" s="106" t="s">
        <v>58</v>
      </c>
      <c r="L79" s="45" t="s">
        <v>62</v>
      </c>
    </row>
    <row r="80" spans="9:13" x14ac:dyDescent="0.3">
      <c r="I80" s="106" t="s">
        <v>57</v>
      </c>
      <c r="J80" s="107">
        <f>+J72+J40</f>
        <v>385</v>
      </c>
      <c r="K80" s="108">
        <v>381.18811499999998</v>
      </c>
      <c r="L80" s="109">
        <f>+J80-K80</f>
        <v>3.811885000000018</v>
      </c>
    </row>
    <row r="81" spans="9:12" x14ac:dyDescent="0.3">
      <c r="I81" s="106" t="s">
        <v>60</v>
      </c>
      <c r="J81" s="107">
        <f ca="1">+J73+J41</f>
        <v>775</v>
      </c>
      <c r="K81" s="106">
        <v>767.32672500000001</v>
      </c>
      <c r="L81" s="109">
        <f ca="1">+J81-K81</f>
        <v>7.6732749999999896</v>
      </c>
    </row>
    <row r="82" spans="9:12" x14ac:dyDescent="0.3">
      <c r="L82" s="110">
        <f ca="1">SUM(L80:L81)</f>
        <v>11.485160000000008</v>
      </c>
    </row>
  </sheetData>
  <mergeCells count="5">
    <mergeCell ref="G11:I11"/>
    <mergeCell ref="A13:A14"/>
    <mergeCell ref="A16:A17"/>
    <mergeCell ref="G55:I55"/>
    <mergeCell ref="A57:A58"/>
  </mergeCells>
  <phoneticPr fontId="15" type="noConversion"/>
  <pageMargins left="0.25" right="0.25" top="0.75" bottom="0.75" header="0.3" footer="0.3"/>
  <pageSetup scale="67" fitToHeight="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BFF95-772B-4A0A-BAF1-A075EB319472}">
  <sheetPr>
    <pageSetUpPr fitToPage="1"/>
  </sheetPr>
  <dimension ref="A1:K25"/>
  <sheetViews>
    <sheetView showGridLines="0" zoomScale="141" zoomScaleNormal="100" workbookViewId="0">
      <selection activeCell="H13" sqref="H13:H18"/>
    </sheetView>
  </sheetViews>
  <sheetFormatPr defaultRowHeight="14.4" x14ac:dyDescent="0.3"/>
  <cols>
    <col min="1" max="1" width="28.88671875" bestFit="1" customWidth="1"/>
    <col min="3" max="3" width="9.4414062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113">
        <v>6</v>
      </c>
      <c r="C1" s="69">
        <v>11</v>
      </c>
      <c r="E1" s="5" t="s">
        <v>26</v>
      </c>
      <c r="F1" s="6">
        <v>528</v>
      </c>
      <c r="G1" s="6" t="s">
        <v>18</v>
      </c>
    </row>
    <row r="2" spans="1:11" x14ac:dyDescent="0.3">
      <c r="A2" s="6" t="s">
        <v>6</v>
      </c>
      <c r="B2" s="6">
        <v>48</v>
      </c>
      <c r="E2" s="5" t="s">
        <v>16</v>
      </c>
      <c r="F2" s="35" t="e">
        <f>F1-B3</f>
        <v>#VALUE!</v>
      </c>
      <c r="G2" s="6" t="s">
        <v>18</v>
      </c>
    </row>
    <row r="3" spans="1:11" x14ac:dyDescent="0.3">
      <c r="A3" s="28" t="s">
        <v>0</v>
      </c>
      <c r="B3" s="29" t="s">
        <v>196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 t="e">
        <f>B3*B4</f>
        <v>#VALUE!</v>
      </c>
      <c r="C5" s="153"/>
    </row>
    <row r="6" spans="1:11" x14ac:dyDescent="0.3">
      <c r="A6" s="6" t="s">
        <v>9</v>
      </c>
      <c r="B6" s="6">
        <v>10</v>
      </c>
      <c r="K6" s="154"/>
    </row>
    <row r="7" spans="1:11" x14ac:dyDescent="0.3">
      <c r="A7" s="28" t="s">
        <v>2</v>
      </c>
      <c r="B7" s="29" t="e">
        <f>B5*B6</f>
        <v>#VALUE!</v>
      </c>
      <c r="C7" s="153"/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 t="e">
        <f>B7*B8</f>
        <v>#VALUE!</v>
      </c>
      <c r="C9" s="226"/>
    </row>
    <row r="11" spans="1:11" x14ac:dyDescent="0.3">
      <c r="A11" s="1">
        <v>45945</v>
      </c>
      <c r="B11" s="12"/>
      <c r="C11" s="12"/>
      <c r="D11" s="12"/>
      <c r="E11" s="228" t="s">
        <v>12</v>
      </c>
      <c r="F11" s="228"/>
      <c r="G11" s="228"/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31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194</v>
      </c>
      <c r="B13" s="6" t="s">
        <v>195</v>
      </c>
      <c r="C13" s="9">
        <v>1</v>
      </c>
      <c r="D13" s="16">
        <v>35</v>
      </c>
      <c r="E13" s="31">
        <f>(C13*$B$2)+D13</f>
        <v>83</v>
      </c>
      <c r="F13" s="31">
        <f>E13*$B$4*$B$6</f>
        <v>2490</v>
      </c>
      <c r="G13" s="31">
        <f>F13*$B$8</f>
        <v>996</v>
      </c>
      <c r="H13" s="10">
        <v>30</v>
      </c>
      <c r="I13" s="20">
        <v>2004</v>
      </c>
      <c r="J13" s="33">
        <f>I13-G13-H13</f>
        <v>978</v>
      </c>
      <c r="K13" s="24" t="s">
        <v>19</v>
      </c>
    </row>
    <row r="14" spans="1:11" x14ac:dyDescent="0.3">
      <c r="A14" s="6" t="s">
        <v>194</v>
      </c>
      <c r="B14" s="6" t="s">
        <v>195</v>
      </c>
      <c r="C14" s="9">
        <v>1</v>
      </c>
      <c r="D14" s="16">
        <v>33</v>
      </c>
      <c r="E14" s="31">
        <f>(C14*$B$2)+D14</f>
        <v>81</v>
      </c>
      <c r="F14" s="31">
        <f t="shared" ref="F14" si="0">E14*$B$4*$B$6</f>
        <v>2430</v>
      </c>
      <c r="G14" s="31">
        <f t="shared" ref="G14:G18" si="1">F14*$B$8</f>
        <v>972</v>
      </c>
      <c r="H14" s="10">
        <v>5</v>
      </c>
      <c r="I14" s="21">
        <v>5400</v>
      </c>
      <c r="J14" s="33">
        <f t="shared" ref="J14:J18" si="2">I14-G14-H14</f>
        <v>4423</v>
      </c>
      <c r="K14" s="24"/>
    </row>
    <row r="15" spans="1:11" x14ac:dyDescent="0.3">
      <c r="A15" s="6" t="s">
        <v>194</v>
      </c>
      <c r="B15" s="6" t="s">
        <v>195</v>
      </c>
      <c r="C15" s="9">
        <v>1</v>
      </c>
      <c r="D15" s="16">
        <v>33</v>
      </c>
      <c r="E15" s="31">
        <f>(C15*$B$2)+D15</f>
        <v>81</v>
      </c>
      <c r="F15" s="31">
        <v>20</v>
      </c>
      <c r="G15" s="31">
        <f t="shared" ref="G15" si="3">F15*$B$8</f>
        <v>8</v>
      </c>
      <c r="H15" s="10">
        <v>5</v>
      </c>
      <c r="I15" s="21"/>
      <c r="J15" s="33">
        <f>I15-G15-H15</f>
        <v>-13</v>
      </c>
      <c r="K15" s="227">
        <f>SUM(J14+J15)</f>
        <v>4410</v>
      </c>
    </row>
    <row r="16" spans="1:11" x14ac:dyDescent="0.3">
      <c r="A16" s="6" t="s">
        <v>194</v>
      </c>
      <c r="B16" s="6" t="s">
        <v>195</v>
      </c>
      <c r="C16" s="9">
        <v>1</v>
      </c>
      <c r="D16" s="16">
        <v>47</v>
      </c>
      <c r="E16" s="31">
        <f t="shared" ref="E16:E18" si="4">(C16*$B$2)+D16</f>
        <v>95</v>
      </c>
      <c r="F16" s="31">
        <f t="shared" ref="F16:F18" si="5">E16*$B$4*$B$6</f>
        <v>2850</v>
      </c>
      <c r="G16" s="31">
        <f t="shared" si="1"/>
        <v>1140</v>
      </c>
      <c r="H16" s="10">
        <v>5</v>
      </c>
      <c r="I16" s="21"/>
      <c r="J16" s="33">
        <f t="shared" si="2"/>
        <v>-1145</v>
      </c>
      <c r="K16" s="24"/>
    </row>
    <row r="17" spans="1:11" x14ac:dyDescent="0.3">
      <c r="A17" s="6" t="s">
        <v>194</v>
      </c>
      <c r="B17" s="6" t="s">
        <v>195</v>
      </c>
      <c r="C17" s="9">
        <v>1</v>
      </c>
      <c r="D17" s="16">
        <v>47</v>
      </c>
      <c r="E17" s="31">
        <f t="shared" si="4"/>
        <v>95</v>
      </c>
      <c r="F17" s="31">
        <f t="shared" si="5"/>
        <v>2850</v>
      </c>
      <c r="G17" s="31">
        <f t="shared" si="1"/>
        <v>1140</v>
      </c>
      <c r="H17" s="10">
        <v>5</v>
      </c>
      <c r="I17" s="21"/>
      <c r="J17" s="33">
        <f t="shared" si="2"/>
        <v>-1145</v>
      </c>
      <c r="K17" s="24"/>
    </row>
    <row r="18" spans="1:11" x14ac:dyDescent="0.3">
      <c r="A18" s="6"/>
      <c r="B18" s="6"/>
      <c r="C18" s="9"/>
      <c r="D18" s="16">
        <v>47</v>
      </c>
      <c r="E18" s="31">
        <f t="shared" si="4"/>
        <v>47</v>
      </c>
      <c r="F18" s="31">
        <f t="shared" si="5"/>
        <v>1410</v>
      </c>
      <c r="G18" s="31">
        <f t="shared" si="1"/>
        <v>564</v>
      </c>
      <c r="H18" s="10">
        <v>5</v>
      </c>
      <c r="I18" s="21"/>
      <c r="J18" s="33">
        <f t="shared" si="2"/>
        <v>-569</v>
      </c>
      <c r="K18" s="24"/>
    </row>
    <row r="19" spans="1:11" x14ac:dyDescent="0.3">
      <c r="A19" s="5" t="s">
        <v>11</v>
      </c>
      <c r="B19" s="6"/>
      <c r="C19" s="7">
        <f>SUM(C13:C18)</f>
        <v>5</v>
      </c>
      <c r="D19" s="17">
        <f>SUM(D13:D18)</f>
        <v>242</v>
      </c>
      <c r="E19" s="32">
        <f>SUM(E13:E18)</f>
        <v>482</v>
      </c>
      <c r="F19" s="32">
        <f>SUM(F13:F18)</f>
        <v>12050</v>
      </c>
      <c r="G19" s="150">
        <f>SUM(G13:G18)</f>
        <v>4820</v>
      </c>
      <c r="H19" s="11"/>
      <c r="I19" s="22"/>
      <c r="J19" s="34"/>
      <c r="K19" s="25"/>
    </row>
    <row r="20" spans="1:11" x14ac:dyDescent="0.3">
      <c r="E20" s="4">
        <f>E19/F1</f>
        <v>0.91287878787878785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0</v>
      </c>
      <c r="H23" s="27">
        <f t="shared" ref="H23:J23" si="6">SUMIF($B$13:$B$18,$F$23,H13:H18)</f>
        <v>0</v>
      </c>
      <c r="I23" s="27">
        <f t="shared" si="6"/>
        <v>0</v>
      </c>
      <c r="J23" s="27">
        <f t="shared" si="6"/>
        <v>0</v>
      </c>
      <c r="K23" s="149"/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7">SUMIF($B$13:$B$18,$F$24,H13:H18)</f>
        <v>0</v>
      </c>
      <c r="I24" s="27">
        <f t="shared" si="7"/>
        <v>0</v>
      </c>
      <c r="J24" s="27">
        <f t="shared" si="7"/>
        <v>0</v>
      </c>
    </row>
    <row r="25" spans="1:11" x14ac:dyDescent="0.3">
      <c r="F25" s="8" t="s">
        <v>34</v>
      </c>
      <c r="G25" s="7">
        <f>SUM(G23:G24)</f>
        <v>0</v>
      </c>
      <c r="H25" s="7">
        <f t="shared" ref="H25:J25" si="8">SUM(H23:H24)</f>
        <v>0</v>
      </c>
      <c r="I25" s="7">
        <f t="shared" si="8"/>
        <v>0</v>
      </c>
      <c r="J25" s="7">
        <f t="shared" si="8"/>
        <v>0</v>
      </c>
    </row>
  </sheetData>
  <mergeCells count="1">
    <mergeCell ref="E11:G11"/>
  </mergeCells>
  <phoneticPr fontId="15" type="noConversion"/>
  <pageMargins left="0.25" right="0.25" top="0.75" bottom="0.75" header="0.3" footer="0.3"/>
  <pageSetup scale="87" fitToHeight="0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91B42-FDB7-4890-8978-4AD5880B3777}">
  <sheetPr>
    <pageSetUpPr fitToPage="1"/>
  </sheetPr>
  <dimension ref="A1:K24"/>
  <sheetViews>
    <sheetView showGridLines="0" zoomScale="89" zoomScaleNormal="89" workbookViewId="0">
      <selection activeCell="D3" sqref="D3"/>
    </sheetView>
  </sheetViews>
  <sheetFormatPr defaultRowHeight="14.4" x14ac:dyDescent="0.3"/>
  <cols>
    <col min="1" max="1" width="28.88671875" bestFit="1" customWidth="1"/>
    <col min="5" max="5" width="10.33203125" bestFit="1" customWidth="1"/>
    <col min="7" max="7" width="10.33203125" customWidth="1"/>
    <col min="9" max="10" width="10.6640625" customWidth="1"/>
    <col min="11" max="11" width="52.6640625" bestFit="1" customWidth="1"/>
  </cols>
  <sheetData>
    <row r="1" spans="1:11" ht="25.8" x14ac:dyDescent="0.5">
      <c r="A1" s="28" t="s">
        <v>3</v>
      </c>
      <c r="B1" s="28">
        <v>6</v>
      </c>
      <c r="C1" s="119"/>
      <c r="E1" s="5" t="s">
        <v>26</v>
      </c>
      <c r="F1" s="6">
        <v>528</v>
      </c>
      <c r="G1" s="6" t="s">
        <v>18</v>
      </c>
      <c r="I1" s="181" t="s">
        <v>134</v>
      </c>
    </row>
    <row r="2" spans="1:11" x14ac:dyDescent="0.3">
      <c r="A2" s="6" t="s">
        <v>6</v>
      </c>
      <c r="B2" s="6">
        <v>48</v>
      </c>
      <c r="E2" s="5" t="s">
        <v>16</v>
      </c>
      <c r="F2" s="43">
        <f>F1-B3</f>
        <v>240</v>
      </c>
      <c r="G2" s="6" t="s">
        <v>18</v>
      </c>
    </row>
    <row r="3" spans="1:11" x14ac:dyDescent="0.3">
      <c r="A3" s="28" t="s">
        <v>0</v>
      </c>
      <c r="B3" s="29">
        <f>B1*B2</f>
        <v>288</v>
      </c>
      <c r="E3" s="5" t="s">
        <v>190</v>
      </c>
      <c r="F3" s="43">
        <f>+F1-F2</f>
        <v>288</v>
      </c>
      <c r="G3" s="6" t="s">
        <v>18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864</v>
      </c>
      <c r="C5" s="153"/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8640</v>
      </c>
      <c r="C7" s="153"/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3456</v>
      </c>
    </row>
    <row r="11" spans="1:11" x14ac:dyDescent="0.3">
      <c r="A11" s="1">
        <v>45918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189</v>
      </c>
      <c r="B13" s="6" t="s">
        <v>27</v>
      </c>
      <c r="C13" s="9">
        <f>2+3+2</f>
        <v>7</v>
      </c>
      <c r="D13" s="16">
        <f>7+45+45+47</f>
        <v>144</v>
      </c>
      <c r="E13" s="31">
        <f>(C13*$B$2)+D13</f>
        <v>480</v>
      </c>
      <c r="F13" s="31">
        <f>E13*$B$4*$B$6</f>
        <v>14400</v>
      </c>
      <c r="G13" s="32">
        <f t="shared" ref="G13:G17" si="0">F13*$B$8</f>
        <v>5760</v>
      </c>
      <c r="H13" s="10">
        <v>5</v>
      </c>
      <c r="I13" s="20">
        <v>5844</v>
      </c>
      <c r="J13" s="33">
        <f>I13-G13-H13-G14</f>
        <v>79</v>
      </c>
      <c r="K13" s="24" t="s">
        <v>152</v>
      </c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>E14*$B$4*$B$6</f>
        <v>0</v>
      </c>
      <c r="G14" s="32">
        <f t="shared" ref="G14" si="1">F14*$B$8</f>
        <v>0</v>
      </c>
      <c r="H14" s="10"/>
      <c r="I14" s="21"/>
      <c r="J14" s="33"/>
      <c r="K14" s="24"/>
    </row>
    <row r="15" spans="1:11" x14ac:dyDescent="0.3">
      <c r="B15" s="6"/>
      <c r="C15" s="9"/>
      <c r="D15" s="16"/>
      <c r="E15" s="31">
        <f t="shared" ref="E15:E17" si="2">(C15*$B$2)+D15</f>
        <v>0</v>
      </c>
      <c r="F15" s="31">
        <f t="shared" ref="F15:F17" si="3">E15*$B$4*$B$6</f>
        <v>0</v>
      </c>
      <c r="G15" s="31">
        <f t="shared" si="0"/>
        <v>0</v>
      </c>
      <c r="H15" s="10"/>
      <c r="I15" s="21"/>
      <c r="J15" s="33">
        <f t="shared" ref="J15:J17" si="4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2"/>
        <v>0</v>
      </c>
      <c r="F16" s="31">
        <f t="shared" si="3"/>
        <v>0</v>
      </c>
      <c r="G16" s="31">
        <f t="shared" si="0"/>
        <v>0</v>
      </c>
      <c r="H16" s="10"/>
      <c r="I16" s="21"/>
      <c r="J16" s="33">
        <f t="shared" si="4"/>
        <v>0</v>
      </c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3"/>
        <v>0</v>
      </c>
      <c r="G17" s="31">
        <f t="shared" si="0"/>
        <v>0</v>
      </c>
      <c r="H17" s="10"/>
      <c r="I17" s="21"/>
      <c r="J17" s="33">
        <f t="shared" si="4"/>
        <v>0</v>
      </c>
      <c r="K17" s="24"/>
    </row>
    <row r="18" spans="1:11" x14ac:dyDescent="0.3">
      <c r="A18" s="5" t="s">
        <v>11</v>
      </c>
      <c r="B18" s="6"/>
      <c r="C18" s="7">
        <f t="shared" ref="C18:I18" si="5">SUM(C13:C17)</f>
        <v>7</v>
      </c>
      <c r="D18" s="17">
        <f t="shared" si="5"/>
        <v>144</v>
      </c>
      <c r="E18" s="32">
        <f t="shared" si="5"/>
        <v>480</v>
      </c>
      <c r="F18" s="32">
        <f t="shared" si="5"/>
        <v>14400</v>
      </c>
      <c r="G18" s="32">
        <f t="shared" si="5"/>
        <v>5760</v>
      </c>
      <c r="H18" s="32">
        <f t="shared" si="5"/>
        <v>5</v>
      </c>
      <c r="I18" s="32">
        <f t="shared" si="5"/>
        <v>5844</v>
      </c>
      <c r="J18" s="34"/>
      <c r="K18" s="25"/>
    </row>
    <row r="19" spans="1:11" x14ac:dyDescent="0.3">
      <c r="D19" s="128"/>
      <c r="E19" s="4">
        <f>E18/F1</f>
        <v>0.90909090909090906</v>
      </c>
    </row>
    <row r="20" spans="1:11" x14ac:dyDescent="0.3">
      <c r="D20" s="128"/>
      <c r="E20" s="4"/>
    </row>
    <row r="21" spans="1:11" x14ac:dyDescent="0.3">
      <c r="E21" s="4"/>
      <c r="F21" s="51" t="s">
        <v>12</v>
      </c>
      <c r="G21" s="51" t="s">
        <v>4</v>
      </c>
      <c r="H21" s="51" t="s">
        <v>14</v>
      </c>
      <c r="I21" s="51" t="s">
        <v>13</v>
      </c>
      <c r="J21" s="51" t="s">
        <v>15</v>
      </c>
    </row>
    <row r="22" spans="1:11" x14ac:dyDescent="0.3">
      <c r="F22" s="26" t="s">
        <v>25</v>
      </c>
      <c r="G22" s="27">
        <f>SUMIF($B$13:$B$17,$F$22,G13:G17)</f>
        <v>0</v>
      </c>
      <c r="H22" s="27">
        <f>SUMIF($B$13:$B$17,$F$22,H13:H17)</f>
        <v>0</v>
      </c>
      <c r="I22" s="27">
        <f>SUMIF($B$13:$B$17,$F$22,I13:I17)</f>
        <v>0</v>
      </c>
      <c r="J22" s="27">
        <f>SUMIF($B$13:$B$17,$F$22,J13:J17)</f>
        <v>0</v>
      </c>
    </row>
    <row r="23" spans="1:11" x14ac:dyDescent="0.3">
      <c r="F23" s="14" t="s">
        <v>27</v>
      </c>
      <c r="G23" s="27">
        <f>SUMIF($B$13:$B$17,$F$23,G13:G17)</f>
        <v>5760</v>
      </c>
      <c r="H23" s="27">
        <f>SUMIF($B$13:$B$17,$F$23,H13:H17)</f>
        <v>5</v>
      </c>
      <c r="I23" s="27">
        <f>SUMIF($B$13:$B$17,$F$23,I13:I17)</f>
        <v>5844</v>
      </c>
      <c r="J23" s="27">
        <f>SUMIF($B$13:$B$17,$F$23,J13:J17)</f>
        <v>79</v>
      </c>
    </row>
    <row r="24" spans="1:11" x14ac:dyDescent="0.3">
      <c r="F24" s="8" t="s">
        <v>34</v>
      </c>
      <c r="G24" s="7">
        <f>SUM(G22:G23)</f>
        <v>5760</v>
      </c>
      <c r="H24" s="7">
        <f t="shared" ref="H24:J24" si="6">SUM(H22:H23)</f>
        <v>5</v>
      </c>
      <c r="I24" s="7">
        <f t="shared" si="6"/>
        <v>5844</v>
      </c>
      <c r="J24" s="7">
        <f t="shared" si="6"/>
        <v>79</v>
      </c>
    </row>
  </sheetData>
  <mergeCells count="1">
    <mergeCell ref="E11:G11"/>
  </mergeCells>
  <pageMargins left="0.25" right="0.25" top="0.75" bottom="0.75" header="0.3" footer="0.3"/>
  <pageSetup scale="81" fitToHeight="0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9B59A-0F11-446D-B943-D7DB2C17E121}">
  <sheetPr>
    <pageSetUpPr fitToPage="1"/>
  </sheetPr>
  <dimension ref="A1:K25"/>
  <sheetViews>
    <sheetView showGridLines="0" zoomScaleNormal="100" workbookViewId="0">
      <selection activeCell="K13" sqref="K13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39.44140625" bestFit="1" customWidth="1"/>
  </cols>
  <sheetData>
    <row r="1" spans="1:11" x14ac:dyDescent="0.3">
      <c r="A1" s="28" t="s">
        <v>3</v>
      </c>
      <c r="B1" s="113">
        <f>C19+(D19/B2)</f>
        <v>5.958333333333333</v>
      </c>
      <c r="E1" s="5" t="s">
        <v>26</v>
      </c>
      <c r="F1" s="6">
        <v>320</v>
      </c>
      <c r="G1" s="6" t="s">
        <v>18</v>
      </c>
    </row>
    <row r="2" spans="1:11" x14ac:dyDescent="0.3">
      <c r="A2" s="6" t="s">
        <v>6</v>
      </c>
      <c r="B2" s="6">
        <v>48</v>
      </c>
      <c r="E2" s="5" t="s">
        <v>16</v>
      </c>
      <c r="F2" s="35">
        <f>F1-B3</f>
        <v>34</v>
      </c>
      <c r="G2" s="6" t="s">
        <v>18</v>
      </c>
    </row>
    <row r="3" spans="1:11" x14ac:dyDescent="0.3">
      <c r="A3" s="28" t="s">
        <v>0</v>
      </c>
      <c r="B3" s="29">
        <f>B1*B2</f>
        <v>286</v>
      </c>
      <c r="C3" s="46" t="s">
        <v>36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858</v>
      </c>
      <c r="E5" s="48"/>
    </row>
    <row r="6" spans="1:11" x14ac:dyDescent="0.3">
      <c r="A6" s="6" t="s">
        <v>9</v>
      </c>
      <c r="B6" s="6">
        <v>10</v>
      </c>
      <c r="E6" s="49"/>
    </row>
    <row r="7" spans="1:11" x14ac:dyDescent="0.3">
      <c r="A7" s="28" t="s">
        <v>2</v>
      </c>
      <c r="B7" s="29">
        <f>B5*B6</f>
        <v>8580</v>
      </c>
      <c r="E7" s="50"/>
      <c r="F7" s="47"/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3432</v>
      </c>
    </row>
    <row r="11" spans="1:11" x14ac:dyDescent="0.3">
      <c r="A11" s="1">
        <v>45567</v>
      </c>
      <c r="B11" s="12"/>
      <c r="C11" s="12"/>
      <c r="D11" s="12"/>
      <c r="E11" s="228"/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31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85">
        <v>2480541</v>
      </c>
      <c r="B13" s="6" t="s">
        <v>25</v>
      </c>
      <c r="C13" s="9">
        <v>5</v>
      </c>
      <c r="D13" s="16">
        <v>46</v>
      </c>
      <c r="E13" s="31">
        <f>(C13*$B$2)+D13</f>
        <v>286</v>
      </c>
      <c r="F13" s="31">
        <f>E13*$B$4*$B$6</f>
        <v>8580</v>
      </c>
      <c r="G13" s="31">
        <f t="shared" ref="G13:G18" si="0">F13*$B$8</f>
        <v>3432</v>
      </c>
      <c r="H13" s="10">
        <v>3</v>
      </c>
      <c r="I13" s="20">
        <v>3500</v>
      </c>
      <c r="J13" s="33">
        <f>I13-G13-H13</f>
        <v>65</v>
      </c>
      <c r="K13" s="24" t="s">
        <v>109</v>
      </c>
    </row>
    <row r="14" spans="1:11" x14ac:dyDescent="0.3">
      <c r="A14" s="85">
        <v>2480541</v>
      </c>
      <c r="B14" s="6" t="s">
        <v>25</v>
      </c>
      <c r="C14" s="9">
        <v>0</v>
      </c>
      <c r="D14" s="16">
        <v>0</v>
      </c>
      <c r="E14" s="31">
        <f>(C14*$B$2)+D14</f>
        <v>0</v>
      </c>
      <c r="F14" s="31">
        <v>20</v>
      </c>
      <c r="G14" s="31">
        <f t="shared" si="0"/>
        <v>8</v>
      </c>
      <c r="H14" s="10"/>
      <c r="I14" s="21"/>
      <c r="J14" s="33">
        <f t="shared" ref="J14:J18" si="1">I14-G14-H14</f>
        <v>-8</v>
      </c>
      <c r="K14" s="24"/>
    </row>
    <row r="15" spans="1:11" x14ac:dyDescent="0.3">
      <c r="A15" s="85"/>
      <c r="B15" s="6"/>
      <c r="C15" s="9"/>
      <c r="D15" s="16"/>
      <c r="E15" s="31">
        <f t="shared" ref="E15:E18" si="2">(C15*$B$2)+D15</f>
        <v>0</v>
      </c>
      <c r="F15" s="31">
        <f t="shared" ref="F15:F18" si="3">E15*$B$4*$B$6</f>
        <v>0</v>
      </c>
      <c r="G15" s="31">
        <f t="shared" si="0"/>
        <v>0</v>
      </c>
      <c r="H15" s="10"/>
      <c r="I15" s="21"/>
      <c r="J15" s="33">
        <f t="shared" si="1"/>
        <v>0</v>
      </c>
      <c r="K15" s="24"/>
    </row>
    <row r="16" spans="1:11" x14ac:dyDescent="0.3">
      <c r="A16" s="85"/>
      <c r="B16" s="6"/>
      <c r="C16" s="9"/>
      <c r="D16" s="16"/>
      <c r="E16" s="31">
        <f>(C16*$B$2)+D16</f>
        <v>0</v>
      </c>
      <c r="F16" s="31">
        <f t="shared" si="3"/>
        <v>0</v>
      </c>
      <c r="G16" s="31">
        <f t="shared" si="0"/>
        <v>0</v>
      </c>
      <c r="H16" s="10"/>
      <c r="I16" s="21"/>
      <c r="J16" s="33">
        <f t="shared" si="1"/>
        <v>0</v>
      </c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3"/>
        <v>0</v>
      </c>
      <c r="G17" s="31">
        <f t="shared" si="0"/>
        <v>0</v>
      </c>
      <c r="H17" s="10"/>
      <c r="I17" s="21"/>
      <c r="J17" s="33">
        <f t="shared" si="1"/>
        <v>0</v>
      </c>
      <c r="K17" s="24"/>
    </row>
    <row r="18" spans="1:11" x14ac:dyDescent="0.3">
      <c r="A18" s="6"/>
      <c r="B18" s="6"/>
      <c r="C18" s="9"/>
      <c r="D18" s="16"/>
      <c r="E18" s="31">
        <f t="shared" si="2"/>
        <v>0</v>
      </c>
      <c r="F18" s="31">
        <f t="shared" si="3"/>
        <v>0</v>
      </c>
      <c r="G18" s="31">
        <f t="shared" si="0"/>
        <v>0</v>
      </c>
      <c r="H18" s="6"/>
      <c r="I18" s="7"/>
      <c r="J18" s="33">
        <f t="shared" si="1"/>
        <v>0</v>
      </c>
      <c r="K18" s="24"/>
    </row>
    <row r="19" spans="1:11" x14ac:dyDescent="0.3">
      <c r="A19" s="5" t="s">
        <v>11</v>
      </c>
      <c r="B19" s="6"/>
      <c r="C19" s="7">
        <f>SUM(C13:C18)</f>
        <v>5</v>
      </c>
      <c r="D19" s="17">
        <f>SUM(D13:D18)</f>
        <v>46</v>
      </c>
      <c r="E19" s="32">
        <f>SUM(E13:E18)</f>
        <v>286</v>
      </c>
      <c r="F19" s="32">
        <f>SUM(F13:F18)</f>
        <v>8600</v>
      </c>
      <c r="G19" s="32">
        <f>SUM(G13:G18)</f>
        <v>3440</v>
      </c>
      <c r="H19" s="5"/>
      <c r="I19" s="7"/>
      <c r="J19" s="32">
        <f t="shared" ref="J19" si="4">SUM(J13:J18)</f>
        <v>57</v>
      </c>
      <c r="K19" s="25"/>
    </row>
    <row r="20" spans="1:11" x14ac:dyDescent="0.3">
      <c r="E20" s="4">
        <f>E19/F1</f>
        <v>0.89375000000000004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+G19</f>
        <v>3440</v>
      </c>
      <c r="H23" s="27">
        <f t="shared" ref="H23" si="5">SUMIF($B$13:$B$18,$F$23,H13:H18)</f>
        <v>3</v>
      </c>
      <c r="I23" s="27">
        <f>SUMIF($B$13:$B$18,$F$23,I13:I18)</f>
        <v>3500</v>
      </c>
      <c r="J23" s="27">
        <f>+J19</f>
        <v>57</v>
      </c>
      <c r="K23" t="s">
        <v>19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6">SUMIF($B$13:$B$18,$F$24,H13:H18)</f>
        <v>0</v>
      </c>
      <c r="I24" s="27">
        <f t="shared" si="6"/>
        <v>0</v>
      </c>
      <c r="J24" s="27">
        <f t="shared" si="6"/>
        <v>0</v>
      </c>
    </row>
    <row r="25" spans="1:11" x14ac:dyDescent="0.3">
      <c r="F25" s="8" t="s">
        <v>34</v>
      </c>
      <c r="G25" s="7">
        <f>SUM(G23:G24)</f>
        <v>3440</v>
      </c>
      <c r="H25" s="7">
        <f t="shared" ref="H25:J25" si="7">SUM(H23:H24)</f>
        <v>3</v>
      </c>
      <c r="I25" s="7">
        <f t="shared" si="7"/>
        <v>3500</v>
      </c>
      <c r="J25" s="7">
        <f t="shared" si="7"/>
        <v>57</v>
      </c>
    </row>
  </sheetData>
  <mergeCells count="1">
    <mergeCell ref="E11:G11"/>
  </mergeCells>
  <pageMargins left="0.25" right="0.25" top="0.75" bottom="0.75" header="0.3" footer="0.3"/>
  <pageSetup scale="89" fitToHeight="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94DDE-D137-4E15-B8D9-E3977F7141F4}">
  <sheetPr>
    <pageSetUpPr fitToPage="1"/>
  </sheetPr>
  <dimension ref="A1:K25"/>
  <sheetViews>
    <sheetView showGridLines="0" zoomScaleNormal="100" workbookViewId="0">
      <selection activeCell="K31" sqref="K31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34.6640625" customWidth="1"/>
  </cols>
  <sheetData>
    <row r="1" spans="1:11" x14ac:dyDescent="0.3">
      <c r="A1" s="28" t="s">
        <v>3</v>
      </c>
      <c r="B1" s="28">
        <f>C19+(D19/B2)</f>
        <v>8.7916666666666661</v>
      </c>
      <c r="C1" s="129">
        <v>9</v>
      </c>
      <c r="E1" s="5" t="s">
        <v>116</v>
      </c>
      <c r="F1" s="6">
        <v>432</v>
      </c>
      <c r="G1" s="6" t="s">
        <v>18</v>
      </c>
    </row>
    <row r="2" spans="1:11" x14ac:dyDescent="0.3">
      <c r="A2" s="6" t="s">
        <v>6</v>
      </c>
      <c r="B2" s="6">
        <v>48</v>
      </c>
      <c r="E2" s="5" t="s">
        <v>16</v>
      </c>
      <c r="F2" s="35">
        <f>F1-B3</f>
        <v>10</v>
      </c>
      <c r="G2" s="6" t="s">
        <v>18</v>
      </c>
      <c r="I2" t="s">
        <v>159</v>
      </c>
    </row>
    <row r="3" spans="1:11" x14ac:dyDescent="0.3">
      <c r="A3" s="28" t="s">
        <v>0</v>
      </c>
      <c r="B3" s="29">
        <f>B1*B2</f>
        <v>422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1266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12660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5064</v>
      </c>
    </row>
    <row r="11" spans="1:11" x14ac:dyDescent="0.3">
      <c r="A11" s="1">
        <v>45770</v>
      </c>
      <c r="B11" s="12"/>
      <c r="C11" s="12"/>
      <c r="D11" s="12"/>
      <c r="E11" s="228"/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31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156</v>
      </c>
      <c r="B13" s="6" t="s">
        <v>157</v>
      </c>
      <c r="C13" s="9"/>
      <c r="D13" s="16">
        <v>5</v>
      </c>
      <c r="E13" s="31">
        <f>(C13*$B$2)+D13</f>
        <v>5</v>
      </c>
      <c r="F13" s="31">
        <f>E13*$B$4*$B$6</f>
        <v>150</v>
      </c>
      <c r="G13" s="31">
        <f>F13*$B$8</f>
        <v>60</v>
      </c>
      <c r="H13" s="10">
        <v>10</v>
      </c>
      <c r="I13" s="21">
        <v>71.8</v>
      </c>
      <c r="J13" s="33">
        <f>I13-G13-H13</f>
        <v>1.7999999999999972</v>
      </c>
      <c r="K13" s="24" t="s">
        <v>152</v>
      </c>
    </row>
    <row r="14" spans="1:11" x14ac:dyDescent="0.3">
      <c r="A14" s="6" t="s">
        <v>158</v>
      </c>
      <c r="B14" s="6" t="s">
        <v>157</v>
      </c>
      <c r="C14" s="9">
        <v>8</v>
      </c>
      <c r="D14" s="16">
        <v>33</v>
      </c>
      <c r="E14" s="31">
        <f>(C14*$B$2)+D14</f>
        <v>417</v>
      </c>
      <c r="F14" s="31">
        <f t="shared" ref="F14:F18" si="0">E14*$B$4*$B$6</f>
        <v>12510</v>
      </c>
      <c r="G14" s="31">
        <f t="shared" ref="G14:G18" si="1">F14*$B$8</f>
        <v>5004</v>
      </c>
      <c r="H14" s="10"/>
      <c r="I14" s="21">
        <v>5760</v>
      </c>
      <c r="J14" s="33">
        <f>I14-G14-H14</f>
        <v>756</v>
      </c>
      <c r="K14" s="24" t="s">
        <v>160</v>
      </c>
    </row>
    <row r="15" spans="1:11" x14ac:dyDescent="0.3">
      <c r="B15" s="6"/>
      <c r="C15" s="9"/>
      <c r="D15" s="16"/>
      <c r="E15" s="31">
        <f t="shared" ref="E15:E18" si="2">(C15*$B$2)+D15</f>
        <v>0</v>
      </c>
      <c r="F15" s="31">
        <f t="shared" si="0"/>
        <v>0</v>
      </c>
      <c r="G15" s="31">
        <f t="shared" si="1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2"/>
        <v>0</v>
      </c>
      <c r="F16" s="31">
        <f t="shared" si="0"/>
        <v>0</v>
      </c>
      <c r="G16" s="31">
        <f t="shared" si="1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0"/>
        <v>0</v>
      </c>
      <c r="G17" s="31">
        <f t="shared" si="1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2"/>
        <v>0</v>
      </c>
      <c r="F18" s="31">
        <f t="shared" si="0"/>
        <v>0</v>
      </c>
      <c r="G18" s="31">
        <f t="shared" si="1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8</v>
      </c>
      <c r="D19" s="17">
        <f>SUM(D13:D18)</f>
        <v>38</v>
      </c>
      <c r="E19" s="32">
        <f>SUM(E13:E18)</f>
        <v>422</v>
      </c>
      <c r="F19" s="32">
        <f>SUM(F13:F18)</f>
        <v>12660</v>
      </c>
      <c r="G19" s="32">
        <f>SUM(G13:G18)</f>
        <v>5064</v>
      </c>
      <c r="H19" s="32">
        <f t="shared" ref="H19:I19" si="4">SUM(H13:H18)</f>
        <v>10</v>
      </c>
      <c r="I19" s="32">
        <f t="shared" si="4"/>
        <v>5831.8</v>
      </c>
      <c r="J19" s="32">
        <f>SUM(J13:J18)</f>
        <v>757.8</v>
      </c>
      <c r="K19" s="25"/>
    </row>
    <row r="20" spans="1:11" x14ac:dyDescent="0.3">
      <c r="E20" s="4">
        <f>E19/F1</f>
        <v>0.97685185185185186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D23" s="44"/>
      <c r="F23" s="26" t="s">
        <v>25</v>
      </c>
      <c r="G23" s="27">
        <f>SUMIF($B$13:$B$18,$F$23,G13:G18)</f>
        <v>5064</v>
      </c>
      <c r="H23" s="27">
        <f t="shared" ref="H23:J23" si="5">SUMIF($B$13:$B$18,$F$23,H13:H18)</f>
        <v>10</v>
      </c>
      <c r="I23" s="27">
        <f t="shared" si="5"/>
        <v>5831.8</v>
      </c>
      <c r="J23" s="27">
        <f t="shared" si="5"/>
        <v>757.8</v>
      </c>
    </row>
    <row r="24" spans="1:11" x14ac:dyDescent="0.3">
      <c r="D24" s="44"/>
      <c r="F24" s="14" t="s">
        <v>27</v>
      </c>
      <c r="G24" s="27">
        <f>SUMIF($B$13:$B$18,$F$24,G13:G18)</f>
        <v>0</v>
      </c>
      <c r="H24" s="27">
        <f t="shared" ref="H24:J24" si="6">SUMIF($B$13:$B$18,$F$24,H13:H18)</f>
        <v>0</v>
      </c>
      <c r="I24" s="27">
        <f t="shared" si="6"/>
        <v>0</v>
      </c>
      <c r="J24" s="27">
        <f t="shared" si="6"/>
        <v>0</v>
      </c>
    </row>
    <row r="25" spans="1:11" x14ac:dyDescent="0.3">
      <c r="F25" s="8" t="s">
        <v>34</v>
      </c>
      <c r="G25" s="7">
        <f>SUM(G23:G24)</f>
        <v>5064</v>
      </c>
      <c r="H25" s="7">
        <f t="shared" ref="H25:J25" si="7">SUM(H23:H24)</f>
        <v>10</v>
      </c>
      <c r="I25" s="7">
        <f t="shared" si="7"/>
        <v>5831.8</v>
      </c>
      <c r="J25" s="7">
        <f t="shared" si="7"/>
        <v>757.8</v>
      </c>
    </row>
  </sheetData>
  <mergeCells count="1">
    <mergeCell ref="E11:G11"/>
  </mergeCells>
  <pageMargins left="0.25" right="0.25" top="0.75" bottom="0.75" header="0.3" footer="0.3"/>
  <pageSetup scale="92" fitToHeight="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235B-517E-402F-BAD5-19C56D6919CF}">
  <sheetPr>
    <pageSetUpPr fitToPage="1"/>
  </sheetPr>
  <dimension ref="A1:L47"/>
  <sheetViews>
    <sheetView showGridLines="0" topLeftCell="A3" zoomScale="118" zoomScaleNormal="100" workbookViewId="0">
      <selection activeCell="J28" sqref="J28"/>
    </sheetView>
  </sheetViews>
  <sheetFormatPr defaultRowHeight="14.4" x14ac:dyDescent="0.3"/>
  <cols>
    <col min="1" max="1" width="28.88671875" bestFit="1" customWidth="1"/>
    <col min="2" max="2" width="9.33203125" bestFit="1" customWidth="1"/>
    <col min="3" max="4" width="10.44140625" customWidth="1"/>
    <col min="5" max="5" width="13.109375" customWidth="1"/>
    <col min="7" max="7" width="10.33203125" customWidth="1"/>
    <col min="9" max="9" width="10.6640625" customWidth="1"/>
    <col min="10" max="10" width="24.109375" bestFit="1" customWidth="1"/>
    <col min="11" max="11" width="34.6640625" customWidth="1"/>
  </cols>
  <sheetData>
    <row r="1" spans="1:11" x14ac:dyDescent="0.3">
      <c r="A1" s="28" t="s">
        <v>3</v>
      </c>
      <c r="B1" s="28">
        <f>C19+(D19/B2)</f>
        <v>11</v>
      </c>
      <c r="C1" s="129"/>
      <c r="E1" s="5" t="s">
        <v>116</v>
      </c>
      <c r="F1" s="6">
        <v>528</v>
      </c>
      <c r="G1" s="6" t="s">
        <v>18</v>
      </c>
    </row>
    <row r="2" spans="1:11" x14ac:dyDescent="0.3">
      <c r="A2" s="6" t="s">
        <v>6</v>
      </c>
      <c r="B2" s="6">
        <v>48</v>
      </c>
      <c r="E2" s="5" t="s">
        <v>16</v>
      </c>
      <c r="F2" s="35">
        <v>0</v>
      </c>
      <c r="G2" s="6" t="s">
        <v>18</v>
      </c>
    </row>
    <row r="3" spans="1:11" x14ac:dyDescent="0.3">
      <c r="A3" s="28" t="s">
        <v>0</v>
      </c>
      <c r="B3" s="29">
        <f>B1*B2</f>
        <v>528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1584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15840</v>
      </c>
      <c r="C7" s="44"/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6336</v>
      </c>
    </row>
    <row r="11" spans="1:11" x14ac:dyDescent="0.3">
      <c r="A11" s="1">
        <v>45947</v>
      </c>
      <c r="B11" s="12"/>
      <c r="C11" s="12"/>
      <c r="D11" s="12"/>
      <c r="E11" s="228"/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31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194</v>
      </c>
      <c r="B13" s="6" t="s">
        <v>197</v>
      </c>
      <c r="C13" s="9">
        <v>6</v>
      </c>
      <c r="D13" s="16">
        <v>240</v>
      </c>
      <c r="E13" s="31">
        <f>(C13*$B$2)+D13</f>
        <v>528</v>
      </c>
      <c r="F13" s="31">
        <f>E13*$B$4*$B$6</f>
        <v>15840</v>
      </c>
      <c r="G13" s="31">
        <f>F13*$B$8</f>
        <v>6336</v>
      </c>
      <c r="H13" s="10">
        <v>55</v>
      </c>
      <c r="I13" s="21">
        <v>5572</v>
      </c>
      <c r="J13" s="33">
        <f>I13-G13-H13</f>
        <v>-819</v>
      </c>
      <c r="K13" s="24" t="s">
        <v>17</v>
      </c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>E14*$B$4*$B$6</f>
        <v>0</v>
      </c>
      <c r="G14" s="31">
        <f>F14*$B$8</f>
        <v>0</v>
      </c>
      <c r="H14" s="10"/>
      <c r="I14" s="21"/>
      <c r="J14" s="33">
        <f>I14-G14-H14</f>
        <v>0</v>
      </c>
      <c r="K14" s="24"/>
    </row>
    <row r="15" spans="1:11" x14ac:dyDescent="0.3">
      <c r="A15" s="6"/>
      <c r="B15" s="6"/>
      <c r="C15" s="9"/>
      <c r="D15" s="16"/>
      <c r="E15" s="31">
        <f t="shared" ref="E15:E18" si="0">(C15*$B$2)+D15</f>
        <v>0</v>
      </c>
      <c r="F15" s="31">
        <f t="shared" ref="F15:F18" si="1">E15*$B$4*$B$6</f>
        <v>0</v>
      </c>
      <c r="G15" s="31">
        <f t="shared" ref="G15:G18" si="2">F15*$B$8</f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6</v>
      </c>
      <c r="D19" s="17">
        <f>SUM(D13:D18)</f>
        <v>240</v>
      </c>
      <c r="E19" s="32">
        <f>SUM(E13:E18)</f>
        <v>528</v>
      </c>
      <c r="F19" s="32">
        <f>SUM(F13:F18)</f>
        <v>15840</v>
      </c>
      <c r="G19" s="32">
        <f>SUM(G13:G18)</f>
        <v>6336</v>
      </c>
      <c r="H19" s="32">
        <f t="shared" ref="H19:I19" si="4">SUM(H13:H18)</f>
        <v>55</v>
      </c>
      <c r="I19" s="32">
        <f t="shared" si="4"/>
        <v>5572</v>
      </c>
      <c r="J19" s="32">
        <f>SUM(J13:J18)</f>
        <v>-819</v>
      </c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D23" s="44"/>
      <c r="F23" s="26" t="s">
        <v>25</v>
      </c>
      <c r="G23" s="27">
        <f>SUMIF($B$13:$B$18,$F$23,G13:G18)</f>
        <v>0</v>
      </c>
      <c r="H23" s="27">
        <f t="shared" ref="H23:J23" si="5">SUMIF($B$13:$B$18,$F$23,H13:H18)</f>
        <v>0</v>
      </c>
      <c r="I23" s="27">
        <f t="shared" si="5"/>
        <v>0</v>
      </c>
      <c r="J23" s="27">
        <f t="shared" si="5"/>
        <v>0</v>
      </c>
    </row>
    <row r="24" spans="1:11" x14ac:dyDescent="0.3">
      <c r="D24" s="44"/>
      <c r="F24" s="14" t="s">
        <v>27</v>
      </c>
      <c r="G24" s="27">
        <f>SUMIF($B$13:$B$18,$F$24,G13:G18)</f>
        <v>6336</v>
      </c>
      <c r="H24" s="27">
        <f t="shared" ref="H24:J24" si="6">SUMIF($B$13:$B$18,$F$24,H13:H18)</f>
        <v>55</v>
      </c>
      <c r="I24" s="27">
        <f t="shared" si="6"/>
        <v>5572</v>
      </c>
      <c r="J24" s="27">
        <f t="shared" si="6"/>
        <v>-819</v>
      </c>
    </row>
    <row r="25" spans="1:11" x14ac:dyDescent="0.3">
      <c r="F25" s="8" t="s">
        <v>34</v>
      </c>
      <c r="G25" s="7">
        <f>SUM(G23:G24)</f>
        <v>6336</v>
      </c>
      <c r="H25" s="7">
        <f t="shared" ref="H25:J25" si="7">SUM(H23:H24)</f>
        <v>55</v>
      </c>
      <c r="I25" s="7">
        <f t="shared" si="7"/>
        <v>5572</v>
      </c>
      <c r="J25" s="7">
        <f t="shared" si="7"/>
        <v>-819</v>
      </c>
    </row>
    <row r="28" spans="1:11" x14ac:dyDescent="0.3">
      <c r="C28" s="236"/>
      <c r="D28" s="236"/>
      <c r="E28" s="236"/>
      <c r="I28" s="81"/>
      <c r="J28" s="47"/>
      <c r="K28" s="81"/>
    </row>
    <row r="29" spans="1:11" x14ac:dyDescent="0.3">
      <c r="I29" s="12"/>
    </row>
    <row r="30" spans="1:11" x14ac:dyDescent="0.3">
      <c r="I30" s="12"/>
    </row>
    <row r="31" spans="1:11" x14ac:dyDescent="0.3">
      <c r="I31" s="12"/>
    </row>
    <row r="32" spans="1:11" x14ac:dyDescent="0.3">
      <c r="I32" s="12"/>
    </row>
    <row r="33" spans="9:12" x14ac:dyDescent="0.3">
      <c r="I33" s="12"/>
    </row>
    <row r="34" spans="9:12" x14ac:dyDescent="0.3">
      <c r="I34" s="12"/>
    </row>
    <row r="35" spans="9:12" x14ac:dyDescent="0.3">
      <c r="I35" s="12"/>
    </row>
    <row r="36" spans="9:12" x14ac:dyDescent="0.3">
      <c r="I36" s="81"/>
      <c r="J36" s="47"/>
      <c r="K36" s="47"/>
      <c r="L36" s="47"/>
    </row>
    <row r="47" spans="9:12" s="136" customFormat="1" ht="28.95" customHeight="1" x14ac:dyDescent="0.3"/>
  </sheetData>
  <mergeCells count="2">
    <mergeCell ref="E11:G11"/>
    <mergeCell ref="C28:E28"/>
  </mergeCells>
  <pageMargins left="0.25" right="0.25" top="0.75" bottom="0.75" header="0.3" footer="0.3"/>
  <pageSetup scale="80" fitToHeight="0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88B2-6024-48FA-B9EE-A92B76491345}">
  <sheetPr>
    <pageSetUpPr fitToPage="1"/>
  </sheetPr>
  <dimension ref="A1:K25"/>
  <sheetViews>
    <sheetView showGridLines="0" topLeftCell="K1" zoomScaleNormal="100" workbookViewId="0">
      <selection activeCell="F1" sqref="F1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36.88671875" bestFit="1" customWidth="1"/>
  </cols>
  <sheetData>
    <row r="1" spans="1:11" x14ac:dyDescent="0.3">
      <c r="A1" s="28" t="s">
        <v>3</v>
      </c>
      <c r="B1" s="28">
        <f>C19+(D19/B2)</f>
        <v>9</v>
      </c>
      <c r="C1" s="117"/>
      <c r="E1" s="5" t="s">
        <v>26</v>
      </c>
      <c r="F1" s="6">
        <v>432</v>
      </c>
      <c r="G1" s="6" t="s">
        <v>18</v>
      </c>
    </row>
    <row r="2" spans="1:11" x14ac:dyDescent="0.3">
      <c r="A2" s="6" t="s">
        <v>6</v>
      </c>
      <c r="B2" s="6">
        <v>48</v>
      </c>
      <c r="E2" s="5" t="s">
        <v>16</v>
      </c>
      <c r="F2" s="35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432</v>
      </c>
      <c r="C3" s="46" t="s">
        <v>36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1296</v>
      </c>
      <c r="E5" s="48"/>
    </row>
    <row r="6" spans="1:11" x14ac:dyDescent="0.3">
      <c r="A6" s="6" t="s">
        <v>9</v>
      </c>
      <c r="B6" s="6">
        <v>10</v>
      </c>
      <c r="E6" s="49"/>
    </row>
    <row r="7" spans="1:11" x14ac:dyDescent="0.3">
      <c r="A7" s="28" t="s">
        <v>2</v>
      </c>
      <c r="B7" s="29">
        <f>B5*B6</f>
        <v>12960</v>
      </c>
      <c r="E7" s="50"/>
      <c r="F7" s="47"/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5184</v>
      </c>
      <c r="H9" s="47"/>
    </row>
    <row r="10" spans="1:11" x14ac:dyDescent="0.3">
      <c r="A10" s="204"/>
    </row>
    <row r="11" spans="1:11" x14ac:dyDescent="0.3">
      <c r="A11" s="1">
        <v>45792</v>
      </c>
      <c r="B11" s="12"/>
      <c r="C11" s="12"/>
      <c r="D11" s="12"/>
      <c r="E11" s="228"/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31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153</v>
      </c>
      <c r="B13" s="143" t="s">
        <v>25</v>
      </c>
      <c r="C13" s="144">
        <v>1</v>
      </c>
      <c r="D13" s="145">
        <v>30</v>
      </c>
      <c r="E13" s="31">
        <f>(C13*$B$2)+D13</f>
        <v>78</v>
      </c>
      <c r="F13" s="31">
        <f>E13*$B$4*$B$6</f>
        <v>2340</v>
      </c>
      <c r="G13" s="31">
        <f t="shared" ref="G13:G18" si="0">F13*$B$8</f>
        <v>936</v>
      </c>
      <c r="H13" s="10">
        <v>150</v>
      </c>
      <c r="I13" s="20">
        <v>1152</v>
      </c>
      <c r="J13" s="33">
        <f>I13-G13-H13</f>
        <v>66</v>
      </c>
      <c r="K13" s="24" t="s">
        <v>155</v>
      </c>
    </row>
    <row r="14" spans="1:11" x14ac:dyDescent="0.3">
      <c r="A14" s="6" t="s">
        <v>172</v>
      </c>
      <c r="B14" s="6" t="s">
        <v>25</v>
      </c>
      <c r="C14" s="9">
        <v>7</v>
      </c>
      <c r="D14" s="16">
        <v>18</v>
      </c>
      <c r="E14" s="142">
        <f>(C14*$B$2)+D14</f>
        <v>354</v>
      </c>
      <c r="F14" s="31">
        <f t="shared" ref="F14:F18" si="1">E14*$B$4*$B$6</f>
        <v>10620</v>
      </c>
      <c r="G14" s="31">
        <f t="shared" si="0"/>
        <v>4248</v>
      </c>
      <c r="H14" s="10"/>
      <c r="I14" s="21">
        <v>5400</v>
      </c>
      <c r="J14" s="33">
        <f>I14-G14-H14</f>
        <v>1152</v>
      </c>
      <c r="K14" s="24" t="s">
        <v>154</v>
      </c>
    </row>
    <row r="15" spans="1:11" x14ac:dyDescent="0.3">
      <c r="A15" s="6"/>
      <c r="B15" s="6"/>
      <c r="C15" s="9"/>
      <c r="D15" s="16"/>
      <c r="E15" s="142">
        <f t="shared" ref="E15:E18" si="2">(C15*$B$2)+D15</f>
        <v>0</v>
      </c>
      <c r="F15" s="31">
        <f t="shared" si="1"/>
        <v>0</v>
      </c>
      <c r="G15" s="31">
        <f t="shared" si="0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146"/>
      <c r="B16" s="146"/>
      <c r="C16" s="147"/>
      <c r="D16" s="148"/>
      <c r="E16" s="31">
        <f>(C16*$B$2)+D16</f>
        <v>0</v>
      </c>
      <c r="F16" s="31">
        <f t="shared" si="1"/>
        <v>0</v>
      </c>
      <c r="G16" s="31">
        <f t="shared" si="0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1"/>
        <v>0</v>
      </c>
      <c r="G17" s="31">
        <f t="shared" si="0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2"/>
        <v>0</v>
      </c>
      <c r="F18" s="31">
        <f t="shared" si="1"/>
        <v>0</v>
      </c>
      <c r="G18" s="31">
        <f t="shared" si="0"/>
        <v>0</v>
      </c>
      <c r="H18" s="6"/>
      <c r="I18" s="7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8</v>
      </c>
      <c r="D19" s="17">
        <f>SUM(D13:D18)</f>
        <v>48</v>
      </c>
      <c r="E19" s="32">
        <f>SUM(E13:E18)</f>
        <v>432</v>
      </c>
      <c r="F19" s="32">
        <f>SUM(F13:F18)</f>
        <v>12960</v>
      </c>
      <c r="G19" s="32">
        <f>SUM(G13:G18)</f>
        <v>5184</v>
      </c>
      <c r="H19" s="32">
        <f t="shared" ref="H19:I19" si="4">SUM(H13:H18)</f>
        <v>150</v>
      </c>
      <c r="I19" s="32">
        <f t="shared" si="4"/>
        <v>6552</v>
      </c>
      <c r="J19" s="32">
        <f>SUM(J13:J18)</f>
        <v>1218</v>
      </c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5184</v>
      </c>
      <c r="H23" s="27">
        <f t="shared" ref="H23:I23" si="5">SUMIF($B$13:$B$18,$F$23,H13:H18)</f>
        <v>150</v>
      </c>
      <c r="I23" s="27">
        <f t="shared" si="5"/>
        <v>6552</v>
      </c>
      <c r="J23" s="27">
        <f>+J15</f>
        <v>0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6">SUMIF($B$13:$B$18,$F$24,H13:H18)</f>
        <v>0</v>
      </c>
      <c r="I24" s="27">
        <f t="shared" si="6"/>
        <v>0</v>
      </c>
      <c r="J24" s="27">
        <f t="shared" si="6"/>
        <v>0</v>
      </c>
    </row>
    <row r="25" spans="1:11" x14ac:dyDescent="0.3">
      <c r="F25" s="8" t="s">
        <v>34</v>
      </c>
      <c r="G25" s="7">
        <f>SUM(G23:G24)</f>
        <v>5184</v>
      </c>
      <c r="H25" s="7">
        <f t="shared" ref="H25:J25" si="7">SUM(H23:H24)</f>
        <v>150</v>
      </c>
      <c r="I25" s="7">
        <f t="shared" si="7"/>
        <v>6552</v>
      </c>
      <c r="J25" s="7">
        <f t="shared" si="7"/>
        <v>0</v>
      </c>
    </row>
  </sheetData>
  <mergeCells count="1">
    <mergeCell ref="E11:G11"/>
  </mergeCells>
  <pageMargins left="0.25" right="0.25" top="0.75" bottom="0.75" header="0.3" footer="0.3"/>
  <pageSetup scale="90" fitToHeight="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005B9-ECDB-4E00-9046-A4B5A4CC5F32}">
  <sheetPr>
    <pageSetUpPr fitToPage="1"/>
  </sheetPr>
  <dimension ref="A1:K25"/>
  <sheetViews>
    <sheetView showGridLines="0" zoomScaleNormal="100" workbookViewId="0">
      <selection activeCell="H6" sqref="H6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9</v>
      </c>
      <c r="C1" s="69"/>
      <c r="F1" s="5" t="s">
        <v>26</v>
      </c>
      <c r="G1" s="6">
        <v>432</v>
      </c>
      <c r="H1" s="6" t="s">
        <v>18</v>
      </c>
    </row>
    <row r="2" spans="1:11" x14ac:dyDescent="0.3">
      <c r="A2" s="6" t="s">
        <v>6</v>
      </c>
      <c r="B2" s="6">
        <v>48</v>
      </c>
      <c r="F2" s="5" t="s">
        <v>16</v>
      </c>
      <c r="G2" s="35">
        <f>G1-B3</f>
        <v>0</v>
      </c>
      <c r="H2" s="6" t="s">
        <v>18</v>
      </c>
    </row>
    <row r="3" spans="1:11" x14ac:dyDescent="0.3">
      <c r="A3" s="28" t="s">
        <v>0</v>
      </c>
      <c r="B3" s="29">
        <f>B1*B2</f>
        <v>432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1296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12960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5184</v>
      </c>
    </row>
    <row r="11" spans="1:11" x14ac:dyDescent="0.3">
      <c r="A11" s="1">
        <v>45778</v>
      </c>
      <c r="B11" s="12"/>
      <c r="C11" s="12"/>
      <c r="D11" s="12"/>
      <c r="E11" s="228" t="s">
        <v>12</v>
      </c>
      <c r="F11" s="228"/>
      <c r="G11" s="228"/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165</v>
      </c>
      <c r="B13" s="6" t="s">
        <v>25</v>
      </c>
      <c r="C13" s="9">
        <v>9</v>
      </c>
      <c r="D13" s="16"/>
      <c r="E13" s="31">
        <f t="shared" ref="E13:E18" si="0">(C13*$B$2)+D13</f>
        <v>432</v>
      </c>
      <c r="F13" s="31">
        <f>E13*$B$4*$B$6</f>
        <v>12960</v>
      </c>
      <c r="G13" s="31">
        <f>F13*$B$8</f>
        <v>5184</v>
      </c>
      <c r="H13" s="10">
        <v>4</v>
      </c>
      <c r="I13" s="20">
        <v>5400</v>
      </c>
      <c r="J13" s="33">
        <f>I13-G13-H13</f>
        <v>212</v>
      </c>
      <c r="K13" s="24" t="s">
        <v>154</v>
      </c>
    </row>
    <row r="14" spans="1:11" x14ac:dyDescent="0.3">
      <c r="A14" s="6"/>
      <c r="B14" s="6"/>
      <c r="C14" s="9"/>
      <c r="D14" s="16"/>
      <c r="E14" s="31">
        <f t="shared" si="0"/>
        <v>0</v>
      </c>
      <c r="F14" s="31">
        <f>E14*$B$4*$B$6</f>
        <v>0</v>
      </c>
      <c r="G14" s="31">
        <f t="shared" ref="G14:G18" si="1">F14*$B$8</f>
        <v>0</v>
      </c>
      <c r="H14" s="10"/>
      <c r="I14" s="21"/>
      <c r="J14" s="33">
        <f>I14-G14-H14</f>
        <v>0</v>
      </c>
      <c r="K14" s="24"/>
    </row>
    <row r="15" spans="1:11" x14ac:dyDescent="0.3">
      <c r="A15" s="6"/>
      <c r="B15" s="6"/>
      <c r="C15" s="9"/>
      <c r="D15" s="16"/>
      <c r="E15" s="31">
        <f t="shared" si="0"/>
        <v>0</v>
      </c>
      <c r="F15" s="31">
        <f t="shared" ref="F15:F18" si="2">E15*$B$4*$B$6</f>
        <v>0</v>
      </c>
      <c r="G15" s="31">
        <f t="shared" si="1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2"/>
        <v>0</v>
      </c>
      <c r="G16" s="31">
        <f t="shared" si="1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2"/>
        <v>0</v>
      </c>
      <c r="G17" s="31">
        <f t="shared" si="1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2"/>
        <v>0</v>
      </c>
      <c r="G18" s="31">
        <f t="shared" si="1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9</v>
      </c>
      <c r="D19" s="17">
        <f>SUM(D13:D18)</f>
        <v>0</v>
      </c>
      <c r="E19" s="32">
        <f>SUM(E13:E18)</f>
        <v>432</v>
      </c>
      <c r="F19" s="32">
        <f>SUM(F13:F18)</f>
        <v>12960</v>
      </c>
      <c r="G19" s="32">
        <f>SUM(G13:G18)</f>
        <v>5184</v>
      </c>
      <c r="H19" s="11"/>
      <c r="I19" s="22"/>
      <c r="J19" s="34"/>
      <c r="K19" s="25"/>
    </row>
    <row r="20" spans="1:11" x14ac:dyDescent="0.3">
      <c r="E20" s="4">
        <f>E19/G1</f>
        <v>1</v>
      </c>
    </row>
    <row r="21" spans="1:11" x14ac:dyDescent="0.3">
      <c r="E21" s="4"/>
    </row>
    <row r="22" spans="1:11" x14ac:dyDescent="0.3">
      <c r="E22" s="4"/>
      <c r="F22" s="54" t="s">
        <v>12</v>
      </c>
      <c r="G22" s="54" t="s">
        <v>4</v>
      </c>
      <c r="H22" s="55" t="s">
        <v>14</v>
      </c>
      <c r="I22" s="56" t="s">
        <v>13</v>
      </c>
    </row>
    <row r="23" spans="1:11" x14ac:dyDescent="0.3">
      <c r="F23" s="26" t="s">
        <v>25</v>
      </c>
      <c r="G23" s="27">
        <f>SUMIF($B$13:$B$18,$F$23,G13:G18)</f>
        <v>5184</v>
      </c>
      <c r="H23" s="27">
        <f t="shared" ref="H23:I23" si="4">SUMIF($B$13:$B$18,$F$23,H13:H18)</f>
        <v>4</v>
      </c>
      <c r="I23" s="27">
        <f t="shared" si="4"/>
        <v>5400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I24" si="5">SUMIF($B$13:$B$18,$F$24,H13:H18)</f>
        <v>0</v>
      </c>
      <c r="I24" s="27">
        <f t="shared" si="5"/>
        <v>0</v>
      </c>
    </row>
    <row r="25" spans="1:11" x14ac:dyDescent="0.3">
      <c r="F25" s="8" t="s">
        <v>34</v>
      </c>
      <c r="G25" s="7">
        <f>SUM(G23:G24)</f>
        <v>5184</v>
      </c>
      <c r="H25" s="7">
        <f t="shared" ref="H25:I25" si="6">SUM(H23:H24)</f>
        <v>4</v>
      </c>
      <c r="I25" s="7">
        <f t="shared" si="6"/>
        <v>5400</v>
      </c>
    </row>
  </sheetData>
  <mergeCells count="1">
    <mergeCell ref="E11:G11"/>
  </mergeCells>
  <pageMargins left="0.25" right="0.25" top="0.75" bottom="0.75" header="0.3" footer="0.3"/>
  <pageSetup scale="88" fitToHeight="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F2DE-3846-455B-B0E9-34F8809AF20E}">
  <sheetPr>
    <pageSetUpPr fitToPage="1"/>
  </sheetPr>
  <dimension ref="A1:N25"/>
  <sheetViews>
    <sheetView showGridLines="0" zoomScaleNormal="100" workbookViewId="0">
      <selection activeCell="K23" sqref="K23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3" x14ac:dyDescent="0.3">
      <c r="A1" s="28" t="s">
        <v>3</v>
      </c>
      <c r="B1" s="28">
        <f>C19+(D19/B2)</f>
        <v>9</v>
      </c>
      <c r="F1" s="5" t="s">
        <v>26</v>
      </c>
      <c r="G1" s="6">
        <v>432</v>
      </c>
      <c r="H1" s="6" t="s">
        <v>18</v>
      </c>
    </row>
    <row r="2" spans="1:13" x14ac:dyDescent="0.3">
      <c r="A2" s="6" t="s">
        <v>6</v>
      </c>
      <c r="B2" s="6">
        <v>48</v>
      </c>
      <c r="F2" s="5" t="s">
        <v>16</v>
      </c>
      <c r="G2" s="35">
        <f>G1-B3</f>
        <v>0</v>
      </c>
      <c r="H2" s="6" t="s">
        <v>18</v>
      </c>
    </row>
    <row r="3" spans="1:13" x14ac:dyDescent="0.3">
      <c r="A3" s="28" t="s">
        <v>0</v>
      </c>
      <c r="B3" s="29">
        <f>B1*B2</f>
        <v>432</v>
      </c>
    </row>
    <row r="4" spans="1:13" x14ac:dyDescent="0.3">
      <c r="A4" s="6" t="s">
        <v>8</v>
      </c>
      <c r="B4" s="6">
        <v>3</v>
      </c>
    </row>
    <row r="5" spans="1:13" x14ac:dyDescent="0.3">
      <c r="A5" s="28" t="s">
        <v>1</v>
      </c>
      <c r="B5" s="29">
        <f>B3*B4</f>
        <v>1296</v>
      </c>
    </row>
    <row r="6" spans="1:13" x14ac:dyDescent="0.3">
      <c r="A6" s="6" t="s">
        <v>9</v>
      </c>
      <c r="B6" s="6">
        <v>10</v>
      </c>
    </row>
    <row r="7" spans="1:13" x14ac:dyDescent="0.3">
      <c r="A7" s="28" t="s">
        <v>2</v>
      </c>
      <c r="B7" s="29">
        <f>B5*B6</f>
        <v>12960</v>
      </c>
    </row>
    <row r="8" spans="1:13" x14ac:dyDescent="0.3">
      <c r="A8" s="6" t="s">
        <v>7</v>
      </c>
      <c r="B8" s="6">
        <v>0.4</v>
      </c>
    </row>
    <row r="9" spans="1:13" x14ac:dyDescent="0.3">
      <c r="A9" s="28" t="s">
        <v>4</v>
      </c>
      <c r="B9" s="29">
        <f>B7*B8</f>
        <v>5184</v>
      </c>
    </row>
    <row r="11" spans="1:13" x14ac:dyDescent="0.3">
      <c r="A11" s="1">
        <v>45100</v>
      </c>
      <c r="B11" s="12"/>
      <c r="C11" s="12"/>
      <c r="D11" s="12"/>
      <c r="E11" s="228" t="s">
        <v>12</v>
      </c>
      <c r="F11" s="228"/>
      <c r="G11" s="228"/>
      <c r="H11" s="18" t="s">
        <v>14</v>
      </c>
      <c r="I11" s="19" t="s">
        <v>13</v>
      </c>
      <c r="J11" s="30" t="s">
        <v>15</v>
      </c>
      <c r="K11" s="18" t="s">
        <v>17</v>
      </c>
    </row>
    <row r="12" spans="1:13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3" x14ac:dyDescent="0.3">
      <c r="A13" s="6" t="s">
        <v>38</v>
      </c>
      <c r="B13" s="6" t="s">
        <v>25</v>
      </c>
      <c r="C13" s="9">
        <v>9</v>
      </c>
      <c r="D13" s="16"/>
      <c r="E13" s="31">
        <f t="shared" ref="E13:E18" si="0">(C13*$B$2)+D13</f>
        <v>432</v>
      </c>
      <c r="F13" s="31">
        <f>E13*$B$4*$B$6</f>
        <v>12960</v>
      </c>
      <c r="G13" s="31">
        <f>F13*$B$8</f>
        <v>5184</v>
      </c>
      <c r="H13" s="10">
        <v>17</v>
      </c>
      <c r="I13" s="20">
        <v>5580</v>
      </c>
      <c r="J13" s="33">
        <f>I13-G13-H13</f>
        <v>379</v>
      </c>
      <c r="K13" s="24"/>
      <c r="L13">
        <f>5580/180</f>
        <v>31</v>
      </c>
      <c r="M13" t="s">
        <v>37</v>
      </c>
    </row>
    <row r="14" spans="1:13" x14ac:dyDescent="0.3">
      <c r="A14" s="6"/>
      <c r="B14" s="6"/>
      <c r="C14" s="9"/>
      <c r="D14" s="16"/>
      <c r="E14" s="31">
        <f t="shared" si="0"/>
        <v>0</v>
      </c>
      <c r="F14" s="31"/>
      <c r="G14" s="31">
        <f t="shared" ref="G14:G18" si="1">F14*$B$8</f>
        <v>0</v>
      </c>
      <c r="H14" s="10"/>
      <c r="I14" s="21"/>
      <c r="J14" s="33">
        <f>I14-G14-H14</f>
        <v>0</v>
      </c>
      <c r="K14" s="24"/>
    </row>
    <row r="15" spans="1:13" x14ac:dyDescent="0.3">
      <c r="A15" s="6"/>
      <c r="B15" s="6"/>
      <c r="C15" s="9"/>
      <c r="D15" s="16"/>
      <c r="E15" s="31">
        <f t="shared" si="0"/>
        <v>0</v>
      </c>
      <c r="F15" s="31">
        <f t="shared" ref="F15:F18" si="2">E15*$B$4*$B$6</f>
        <v>0</v>
      </c>
      <c r="G15" s="31">
        <f t="shared" si="1"/>
        <v>0</v>
      </c>
      <c r="H15" s="10"/>
      <c r="I15" s="21"/>
      <c r="J15" s="33">
        <f t="shared" ref="J15:J18" si="3">I15-G15-H15</f>
        <v>0</v>
      </c>
      <c r="K15" s="24"/>
    </row>
    <row r="16" spans="1:13" x14ac:dyDescent="0.3">
      <c r="A16" s="6"/>
      <c r="B16" s="6"/>
      <c r="C16" s="9"/>
      <c r="D16" s="16"/>
      <c r="E16" s="31">
        <f t="shared" si="0"/>
        <v>0</v>
      </c>
      <c r="F16" s="31">
        <f t="shared" si="2"/>
        <v>0</v>
      </c>
      <c r="G16" s="31">
        <f t="shared" si="1"/>
        <v>0</v>
      </c>
      <c r="H16" s="10"/>
      <c r="I16" s="21"/>
      <c r="J16" s="33">
        <f t="shared" si="3"/>
        <v>0</v>
      </c>
      <c r="K16" s="24"/>
    </row>
    <row r="17" spans="1:14" x14ac:dyDescent="0.3">
      <c r="A17" s="6"/>
      <c r="B17" s="6"/>
      <c r="C17" s="9"/>
      <c r="D17" s="16"/>
      <c r="E17" s="31">
        <f t="shared" si="0"/>
        <v>0</v>
      </c>
      <c r="F17" s="31">
        <f t="shared" si="2"/>
        <v>0</v>
      </c>
      <c r="G17" s="31">
        <f t="shared" si="1"/>
        <v>0</v>
      </c>
      <c r="H17" s="10"/>
      <c r="I17" s="21"/>
      <c r="J17" s="33">
        <f t="shared" si="3"/>
        <v>0</v>
      </c>
      <c r="K17" s="24"/>
      <c r="N17">
        <f>8*10</f>
        <v>80</v>
      </c>
    </row>
    <row r="18" spans="1:14" x14ac:dyDescent="0.3">
      <c r="A18" s="6"/>
      <c r="B18" s="6"/>
      <c r="C18" s="9"/>
      <c r="D18" s="16"/>
      <c r="E18" s="31">
        <f t="shared" si="0"/>
        <v>0</v>
      </c>
      <c r="F18" s="31">
        <f t="shared" si="2"/>
        <v>0</v>
      </c>
      <c r="G18" s="31">
        <f t="shared" si="1"/>
        <v>0</v>
      </c>
      <c r="H18" s="10"/>
      <c r="I18" s="21"/>
      <c r="J18" s="33">
        <f t="shared" si="3"/>
        <v>0</v>
      </c>
      <c r="K18" s="24"/>
      <c r="N18">
        <f>+N17*0.4</f>
        <v>32</v>
      </c>
    </row>
    <row r="19" spans="1:14" x14ac:dyDescent="0.3">
      <c r="A19" s="5" t="s">
        <v>11</v>
      </c>
      <c r="B19" s="6"/>
      <c r="C19" s="7">
        <f>SUM(C13:C18)</f>
        <v>9</v>
      </c>
      <c r="D19" s="17">
        <f>SUM(D13:D18)</f>
        <v>0</v>
      </c>
      <c r="E19" s="32">
        <f>SUM(E13:E18)</f>
        <v>432</v>
      </c>
      <c r="F19" s="32">
        <f>SUM(F13:F18)</f>
        <v>12960</v>
      </c>
      <c r="G19" s="32">
        <f>SUM(G13:G18)</f>
        <v>5184</v>
      </c>
      <c r="H19" s="11"/>
      <c r="I19" s="22"/>
      <c r="J19" s="34"/>
      <c r="K19" s="25"/>
      <c r="N19">
        <f>180-N18</f>
        <v>148</v>
      </c>
    </row>
    <row r="20" spans="1:14" x14ac:dyDescent="0.3">
      <c r="E20" s="4">
        <f>E19/G1</f>
        <v>1</v>
      </c>
      <c r="N20">
        <f>180+N19</f>
        <v>328</v>
      </c>
    </row>
    <row r="21" spans="1:14" x14ac:dyDescent="0.3">
      <c r="E21" s="4"/>
    </row>
    <row r="22" spans="1:14" x14ac:dyDescent="0.3">
      <c r="E22" s="4"/>
      <c r="F22" s="54" t="s">
        <v>12</v>
      </c>
      <c r="G22" s="54" t="s">
        <v>4</v>
      </c>
      <c r="H22" s="55" t="s">
        <v>14</v>
      </c>
      <c r="I22" s="56" t="s">
        <v>13</v>
      </c>
      <c r="J22" s="54" t="s">
        <v>15</v>
      </c>
    </row>
    <row r="23" spans="1:14" x14ac:dyDescent="0.3">
      <c r="F23" s="26" t="s">
        <v>25</v>
      </c>
      <c r="G23" s="27">
        <f>SUMIF($B$13:$B$18,$F$23,G13:G18)</f>
        <v>5184</v>
      </c>
      <c r="H23" s="27">
        <f t="shared" ref="H23:J23" si="4">SUMIF($B$13:$B$18,$F$23,H13:H18)</f>
        <v>17</v>
      </c>
      <c r="I23" s="27">
        <f t="shared" si="4"/>
        <v>5580</v>
      </c>
      <c r="J23" s="27">
        <f t="shared" si="4"/>
        <v>379</v>
      </c>
    </row>
    <row r="24" spans="1:14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4" x14ac:dyDescent="0.3">
      <c r="F25" s="8" t="s">
        <v>34</v>
      </c>
      <c r="G25" s="7">
        <f>SUM(G23:G24)</f>
        <v>5184</v>
      </c>
      <c r="H25" s="7">
        <f t="shared" ref="H25:J25" si="6">SUM(H23:H24)</f>
        <v>17</v>
      </c>
      <c r="I25" s="7">
        <f t="shared" si="6"/>
        <v>5580</v>
      </c>
      <c r="J25" s="7">
        <f t="shared" si="6"/>
        <v>379</v>
      </c>
    </row>
  </sheetData>
  <mergeCells count="1">
    <mergeCell ref="E11:G11"/>
  </mergeCells>
  <pageMargins left="0.25" right="0.25" top="0.75" bottom="0.75" header="0.3" footer="0.3"/>
  <pageSetup scale="75" fitToHeight="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FCF36-8F4A-409D-BFF0-F13E92253D68}">
  <sheetPr>
    <pageSetUpPr fitToPage="1"/>
  </sheetPr>
  <dimension ref="A1:K25"/>
  <sheetViews>
    <sheetView showGridLines="0" zoomScaleNormal="100" workbookViewId="0">
      <selection activeCell="C23" sqref="C23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60.33203125" customWidth="1"/>
  </cols>
  <sheetData>
    <row r="1" spans="1:11" x14ac:dyDescent="0.3">
      <c r="A1" s="28" t="s">
        <v>3</v>
      </c>
      <c r="B1" s="28">
        <f>C19+(D19/B2)</f>
        <v>14</v>
      </c>
      <c r="E1" s="5" t="s">
        <v>26</v>
      </c>
      <c r="F1" s="6">
        <v>672</v>
      </c>
      <c r="G1" s="6" t="s">
        <v>18</v>
      </c>
    </row>
    <row r="2" spans="1:11" x14ac:dyDescent="0.3">
      <c r="A2" s="6" t="s">
        <v>6</v>
      </c>
      <c r="B2" s="6">
        <v>48</v>
      </c>
      <c r="E2" s="5" t="s">
        <v>16</v>
      </c>
      <c r="F2" s="35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672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2016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20160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8064</v>
      </c>
    </row>
    <row r="11" spans="1:11" x14ac:dyDescent="0.3">
      <c r="A11" s="1">
        <v>45856</v>
      </c>
      <c r="B11" s="12"/>
      <c r="C11" s="12"/>
      <c r="D11" s="12"/>
      <c r="E11" s="228" t="s">
        <v>12</v>
      </c>
      <c r="F11" s="228"/>
      <c r="G11" s="228"/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175</v>
      </c>
      <c r="B13" s="6" t="s">
        <v>25</v>
      </c>
      <c r="C13" s="9">
        <v>9</v>
      </c>
      <c r="D13" s="16">
        <v>10</v>
      </c>
      <c r="E13" s="31">
        <f>(C13*$B$2)+D13</f>
        <v>442</v>
      </c>
      <c r="F13" s="31">
        <f>E13*$B$4*$B$6</f>
        <v>13260</v>
      </c>
      <c r="G13" s="31">
        <f>F13*$B$8</f>
        <v>5304</v>
      </c>
      <c r="H13" s="10">
        <v>15</v>
      </c>
      <c r="I13" s="20">
        <v>5400</v>
      </c>
      <c r="J13" s="33">
        <f>I13-G13-H13</f>
        <v>81</v>
      </c>
      <c r="K13" s="24" t="s">
        <v>19</v>
      </c>
    </row>
    <row r="14" spans="1:11" x14ac:dyDescent="0.3">
      <c r="A14" s="6" t="s">
        <v>175</v>
      </c>
      <c r="B14" s="6" t="s">
        <v>27</v>
      </c>
      <c r="C14" s="9">
        <v>3</v>
      </c>
      <c r="D14" s="16">
        <f>34+27+25</f>
        <v>86</v>
      </c>
      <c r="E14" s="31">
        <f>(C14*$B$2)+D14</f>
        <v>230</v>
      </c>
      <c r="F14" s="31">
        <f t="shared" ref="F14:F18" si="0">E14*$B$4*$B$6</f>
        <v>6900</v>
      </c>
      <c r="G14" s="31">
        <f t="shared" ref="G14:G18" si="1">F14*$B$8</f>
        <v>2760</v>
      </c>
      <c r="H14" s="10">
        <f>70+20+5</f>
        <v>95</v>
      </c>
      <c r="I14" s="21">
        <v>3350</v>
      </c>
      <c r="J14" s="33">
        <f t="shared" ref="J14:J16" si="2">I14-G14-H14</f>
        <v>495</v>
      </c>
      <c r="K14" s="24" t="s">
        <v>176</v>
      </c>
    </row>
    <row r="15" spans="1:11" x14ac:dyDescent="0.3">
      <c r="A15" s="6"/>
      <c r="B15" s="6"/>
      <c r="C15" s="9"/>
      <c r="D15" s="16"/>
      <c r="E15" s="31">
        <f t="shared" ref="E15:E18" si="3">(C15*$B$2)+D15</f>
        <v>0</v>
      </c>
      <c r="F15" s="31">
        <f t="shared" si="0"/>
        <v>0</v>
      </c>
      <c r="G15" s="31">
        <f t="shared" si="1"/>
        <v>0</v>
      </c>
      <c r="H15" s="10"/>
      <c r="I15" s="21"/>
      <c r="J15" s="33">
        <f t="shared" si="2"/>
        <v>0</v>
      </c>
      <c r="K15" s="24"/>
    </row>
    <row r="16" spans="1:11" x14ac:dyDescent="0.3">
      <c r="A16" s="6"/>
      <c r="B16" s="6"/>
      <c r="C16" s="9"/>
      <c r="D16" s="16"/>
      <c r="E16" s="31">
        <f t="shared" si="3"/>
        <v>0</v>
      </c>
      <c r="F16" s="31">
        <f t="shared" si="0"/>
        <v>0</v>
      </c>
      <c r="G16" s="31">
        <f t="shared" si="1"/>
        <v>0</v>
      </c>
      <c r="H16" s="10"/>
      <c r="I16" s="21"/>
      <c r="J16" s="33">
        <f t="shared" si="2"/>
        <v>0</v>
      </c>
      <c r="K16" s="24"/>
    </row>
    <row r="17" spans="1:11" x14ac:dyDescent="0.3">
      <c r="A17" s="6"/>
      <c r="B17" s="6"/>
      <c r="C17" s="9"/>
      <c r="D17" s="16"/>
      <c r="E17" s="31">
        <f t="shared" si="3"/>
        <v>0</v>
      </c>
      <c r="F17" s="31">
        <f t="shared" si="0"/>
        <v>0</v>
      </c>
      <c r="G17" s="31">
        <f t="shared" si="1"/>
        <v>0</v>
      </c>
      <c r="H17" s="10"/>
      <c r="I17" s="21"/>
      <c r="J17" s="33">
        <f t="shared" ref="J17:J18" si="4">I17-G17-H17</f>
        <v>0</v>
      </c>
      <c r="K17" s="24"/>
    </row>
    <row r="18" spans="1:11" x14ac:dyDescent="0.3">
      <c r="A18" s="6"/>
      <c r="B18" s="6"/>
      <c r="C18" s="9"/>
      <c r="D18" s="16"/>
      <c r="E18" s="31">
        <f t="shared" si="3"/>
        <v>0</v>
      </c>
      <c r="F18" s="31">
        <f t="shared" si="0"/>
        <v>0</v>
      </c>
      <c r="G18" s="31">
        <f t="shared" si="1"/>
        <v>0</v>
      </c>
      <c r="H18" s="10"/>
      <c r="I18" s="21"/>
      <c r="J18" s="33">
        <f t="shared" si="4"/>
        <v>0</v>
      </c>
      <c r="K18" s="24"/>
    </row>
    <row r="19" spans="1:11" x14ac:dyDescent="0.3">
      <c r="A19" s="5" t="s">
        <v>11</v>
      </c>
      <c r="B19" s="6"/>
      <c r="C19" s="7">
        <f>SUM(C13:C18)</f>
        <v>12</v>
      </c>
      <c r="D19" s="17">
        <f>SUM(D13:D18)</f>
        <v>96</v>
      </c>
      <c r="E19" s="32">
        <f>SUM(E13:E18)</f>
        <v>672</v>
      </c>
      <c r="F19" s="32">
        <f>SUM(F13:F18)</f>
        <v>20160</v>
      </c>
      <c r="G19" s="32">
        <f>SUM(G13:G18)</f>
        <v>8064</v>
      </c>
      <c r="H19" s="32">
        <f t="shared" ref="H19:I19" si="5">SUM(H13:H18)</f>
        <v>110</v>
      </c>
      <c r="I19" s="32">
        <f t="shared" si="5"/>
        <v>8750</v>
      </c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5304</v>
      </c>
      <c r="H23" s="27">
        <f t="shared" ref="H23:J23" si="6">SUMIF($B$13:$B$18,$F$23,H13:H18)</f>
        <v>15</v>
      </c>
      <c r="I23" s="27">
        <f t="shared" si="6"/>
        <v>5400</v>
      </c>
      <c r="J23" s="27">
        <f t="shared" si="6"/>
        <v>81</v>
      </c>
    </row>
    <row r="24" spans="1:11" x14ac:dyDescent="0.3">
      <c r="F24" s="14" t="s">
        <v>27</v>
      </c>
      <c r="G24" s="27">
        <f>SUMIF($B$13:$B$18,$F$24,G13:G18)</f>
        <v>2760</v>
      </c>
      <c r="H24" s="27">
        <f t="shared" ref="H24:J24" si="7">SUMIF($B$13:$B$18,$F$24,H13:H18)</f>
        <v>95</v>
      </c>
      <c r="I24" s="27">
        <f t="shared" si="7"/>
        <v>3350</v>
      </c>
      <c r="J24" s="27">
        <f t="shared" si="7"/>
        <v>495</v>
      </c>
    </row>
    <row r="25" spans="1:11" x14ac:dyDescent="0.3">
      <c r="F25" s="8" t="s">
        <v>34</v>
      </c>
      <c r="G25" s="7">
        <f>SUM(G23:G24)</f>
        <v>8064</v>
      </c>
      <c r="H25" s="7">
        <f t="shared" ref="H25:J25" si="8">SUM(H23:H24)</f>
        <v>110</v>
      </c>
      <c r="I25" s="7">
        <f t="shared" si="8"/>
        <v>8750</v>
      </c>
      <c r="J25" s="7">
        <f t="shared" si="8"/>
        <v>576</v>
      </c>
    </row>
  </sheetData>
  <mergeCells count="1">
    <mergeCell ref="E11:G11"/>
  </mergeCells>
  <pageMargins left="0.25" right="0.25" top="0.75" bottom="0.75" header="0.3" footer="0.3"/>
  <pageSetup scale="78" fitToHeight="0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A3C25-0477-4E25-9ACD-40991B18984C}">
  <sheetPr>
    <pageSetUpPr fitToPage="1"/>
  </sheetPr>
  <dimension ref="A1:K25"/>
  <sheetViews>
    <sheetView showGridLines="0" zoomScaleNormal="100" workbookViewId="0">
      <selection activeCell="H8" sqref="H8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1.109375" bestFit="1" customWidth="1"/>
    <col min="12" max="12" width="14.6640625" bestFit="1" customWidth="1"/>
  </cols>
  <sheetData>
    <row r="1" spans="1:11" x14ac:dyDescent="0.3">
      <c r="A1" s="28" t="s">
        <v>3</v>
      </c>
      <c r="B1" s="90">
        <f>C19+(D19/B2)</f>
        <v>6.875</v>
      </c>
      <c r="E1" s="5" t="s">
        <v>26</v>
      </c>
      <c r="F1" s="6">
        <v>330</v>
      </c>
      <c r="G1" s="6" t="s">
        <v>18</v>
      </c>
    </row>
    <row r="2" spans="1:11" x14ac:dyDescent="0.3">
      <c r="A2" s="6" t="s">
        <v>6</v>
      </c>
      <c r="B2" s="6">
        <v>48</v>
      </c>
      <c r="E2" s="5" t="s">
        <v>16</v>
      </c>
      <c r="F2" s="43">
        <f>F1-B3</f>
        <v>0</v>
      </c>
      <c r="G2" s="6" t="s">
        <v>18</v>
      </c>
      <c r="I2" s="81" t="s">
        <v>135</v>
      </c>
    </row>
    <row r="3" spans="1:11" x14ac:dyDescent="0.3">
      <c r="A3" s="28" t="s">
        <v>0</v>
      </c>
      <c r="B3" s="29">
        <f>B1*B2</f>
        <v>330</v>
      </c>
      <c r="I3" s="81" t="s">
        <v>136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990</v>
      </c>
      <c r="C5" s="126"/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9900</v>
      </c>
      <c r="C7" s="126"/>
    </row>
    <row r="8" spans="1:11" x14ac:dyDescent="0.3">
      <c r="A8" s="6" t="s">
        <v>7</v>
      </c>
      <c r="B8" s="6">
        <v>0.4</v>
      </c>
      <c r="G8" s="44"/>
    </row>
    <row r="9" spans="1:11" x14ac:dyDescent="0.3">
      <c r="A9" s="28" t="s">
        <v>4</v>
      </c>
      <c r="B9" s="29">
        <f>B7*B8</f>
        <v>3960</v>
      </c>
    </row>
    <row r="11" spans="1:11" x14ac:dyDescent="0.3">
      <c r="A11" s="1">
        <v>45937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177</v>
      </c>
      <c r="B13" s="6" t="s">
        <v>25</v>
      </c>
      <c r="C13" s="9">
        <v>6</v>
      </c>
      <c r="D13" s="16">
        <v>42</v>
      </c>
      <c r="E13" s="31">
        <f>(C13*$B$2)+D13</f>
        <v>330</v>
      </c>
      <c r="F13" s="31">
        <f>E13*$B$4*$B$6</f>
        <v>9900</v>
      </c>
      <c r="G13" s="31">
        <f>F13*$B$8</f>
        <v>3960</v>
      </c>
      <c r="H13" s="10">
        <v>44</v>
      </c>
      <c r="I13" s="20">
        <v>4097</v>
      </c>
      <c r="J13" s="33">
        <f>I13-G13-H13</f>
        <v>93</v>
      </c>
      <c r="K13" s="24" t="s">
        <v>19</v>
      </c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 t="shared" ref="F14:F18" si="0">E14*$B$4*$B$6</f>
        <v>0</v>
      </c>
      <c r="G14" s="31">
        <f>F14*$B$8</f>
        <v>0</v>
      </c>
      <c r="H14" s="10"/>
      <c r="I14" s="21"/>
      <c r="J14" s="33">
        <f t="shared" ref="J14:J15" si="1">I14-G14-H14</f>
        <v>0</v>
      </c>
      <c r="K14" s="24"/>
    </row>
    <row r="15" spans="1:11" x14ac:dyDescent="0.3">
      <c r="B15" s="6"/>
      <c r="C15" s="9"/>
      <c r="D15" s="16"/>
      <c r="E15" s="31">
        <f>(C15*$B$2)+D15</f>
        <v>0</v>
      </c>
      <c r="F15" s="31">
        <f t="shared" ref="F15" si="2">E15*$B$4*$B$6</f>
        <v>0</v>
      </c>
      <c r="G15" s="31">
        <f>F15*$B$8</f>
        <v>0</v>
      </c>
      <c r="H15" s="91"/>
      <c r="I15" s="92"/>
      <c r="J15" s="33">
        <f t="shared" si="1"/>
        <v>0</v>
      </c>
      <c r="K15" s="24"/>
    </row>
    <row r="16" spans="1:11" x14ac:dyDescent="0.3">
      <c r="A16" s="6"/>
      <c r="B16" s="6"/>
      <c r="C16" s="9"/>
      <c r="D16" s="16"/>
      <c r="E16" s="31">
        <f t="shared" ref="E16:E18" si="3">(C16*$B$2)+D16</f>
        <v>0</v>
      </c>
      <c r="F16" s="31">
        <f t="shared" si="0"/>
        <v>0</v>
      </c>
      <c r="G16" s="31">
        <f t="shared" ref="G16:G18" si="4">F16*$B$8</f>
        <v>0</v>
      </c>
      <c r="H16" s="10"/>
      <c r="I16" s="21"/>
      <c r="J16" s="33">
        <f>I16-G16-H16</f>
        <v>0</v>
      </c>
      <c r="K16" s="24"/>
    </row>
    <row r="17" spans="1:11" x14ac:dyDescent="0.3">
      <c r="A17" s="6"/>
      <c r="B17" s="6"/>
      <c r="C17" s="9"/>
      <c r="D17" s="16"/>
      <c r="E17" s="31">
        <f t="shared" si="3"/>
        <v>0</v>
      </c>
      <c r="F17" s="31">
        <f t="shared" si="0"/>
        <v>0</v>
      </c>
      <c r="G17" s="31">
        <f t="shared" si="4"/>
        <v>0</v>
      </c>
      <c r="H17" s="10"/>
      <c r="I17" s="21"/>
      <c r="J17" s="33">
        <f t="shared" ref="J17:J18" si="5">I17-G17-H17</f>
        <v>0</v>
      </c>
      <c r="K17" s="24"/>
    </row>
    <row r="18" spans="1:11" x14ac:dyDescent="0.3">
      <c r="A18" s="6"/>
      <c r="B18" s="6"/>
      <c r="C18" s="9"/>
      <c r="D18" s="16"/>
      <c r="E18" s="31">
        <f t="shared" si="3"/>
        <v>0</v>
      </c>
      <c r="F18" s="31">
        <f t="shared" si="0"/>
        <v>0</v>
      </c>
      <c r="G18" s="31">
        <f t="shared" si="4"/>
        <v>0</v>
      </c>
      <c r="H18" s="10"/>
      <c r="I18" s="21"/>
      <c r="J18" s="33">
        <f t="shared" si="5"/>
        <v>0</v>
      </c>
      <c r="K18" s="24"/>
    </row>
    <row r="19" spans="1:11" x14ac:dyDescent="0.3">
      <c r="A19" s="5" t="s">
        <v>11</v>
      </c>
      <c r="B19" s="6"/>
      <c r="C19" s="7">
        <f>SUM(C13:C18)</f>
        <v>6</v>
      </c>
      <c r="D19" s="17">
        <f>SUM(D13:D18)</f>
        <v>42</v>
      </c>
      <c r="E19" s="32">
        <f>SUM(E13:E18)</f>
        <v>330</v>
      </c>
      <c r="F19" s="32">
        <f>SUM(F13:F18)</f>
        <v>9900</v>
      </c>
      <c r="G19" s="32">
        <f>SUM(G13:G18)</f>
        <v>3960</v>
      </c>
      <c r="H19" s="32">
        <f>SUM(H13:H17)</f>
        <v>44</v>
      </c>
      <c r="I19" s="32">
        <f>SUM(I13:I18)</f>
        <v>4097</v>
      </c>
      <c r="J19" s="32"/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3960</v>
      </c>
      <c r="H23" s="27">
        <f t="shared" ref="H23:I23" si="6">SUMIF($B$13:$B$18,$F$23,H13:H18)</f>
        <v>44</v>
      </c>
      <c r="I23" s="27">
        <f t="shared" si="6"/>
        <v>4097</v>
      </c>
      <c r="J23" s="27"/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I24" si="7">SUMIF($B$13:$B$18,$F$24,H13:H18)</f>
        <v>0</v>
      </c>
      <c r="I24" s="27">
        <f t="shared" si="7"/>
        <v>0</v>
      </c>
      <c r="J24" s="27"/>
    </row>
    <row r="25" spans="1:11" x14ac:dyDescent="0.3">
      <c r="F25" s="8" t="s">
        <v>34</v>
      </c>
      <c r="G25" s="7">
        <f>SUM(G23:G24)</f>
        <v>3960</v>
      </c>
      <c r="H25" s="7">
        <f t="shared" ref="H25:I25" si="8">SUM(H23:H24)</f>
        <v>44</v>
      </c>
      <c r="I25" s="7">
        <f t="shared" si="8"/>
        <v>4097</v>
      </c>
      <c r="J25" s="7">
        <v>10</v>
      </c>
    </row>
  </sheetData>
  <mergeCells count="1">
    <mergeCell ref="E11:G11"/>
  </mergeCells>
  <pageMargins left="0.25" right="0.25" top="0.75" bottom="0.75" header="0.3" footer="0.3"/>
  <pageSetup scale="88" fitToHeight="0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004E5-3094-475D-BBAA-1864D819E779}">
  <sheetPr>
    <pageSetUpPr fitToPage="1"/>
  </sheetPr>
  <dimension ref="A1:M87"/>
  <sheetViews>
    <sheetView showGridLines="0" tabSelected="1" zoomScaleNormal="100" workbookViewId="0">
      <selection activeCell="I8" sqref="I8"/>
    </sheetView>
  </sheetViews>
  <sheetFormatPr defaultRowHeight="14.4" x14ac:dyDescent="0.3"/>
  <cols>
    <col min="1" max="1" width="26.44140625" customWidth="1"/>
    <col min="2" max="2" width="10.6640625" customWidth="1"/>
    <col min="7" max="7" width="10.33203125" customWidth="1"/>
    <col min="9" max="9" width="10.6640625" customWidth="1"/>
    <col min="10" max="10" width="12.44140625" customWidth="1"/>
    <col min="11" max="11" width="63.109375" bestFit="1" customWidth="1"/>
  </cols>
  <sheetData>
    <row r="1" spans="1:12" ht="21" x14ac:dyDescent="0.4">
      <c r="A1" s="28" t="s">
        <v>3</v>
      </c>
      <c r="B1" s="113">
        <f>C21+(D21/B2)</f>
        <v>0</v>
      </c>
      <c r="C1" s="211"/>
      <c r="E1" s="5" t="s">
        <v>26</v>
      </c>
      <c r="F1" s="6">
        <v>1728</v>
      </c>
      <c r="G1" s="6" t="s">
        <v>18</v>
      </c>
      <c r="I1" s="41"/>
      <c r="J1" s="138"/>
    </row>
    <row r="2" spans="1:12" ht="21" x14ac:dyDescent="0.4">
      <c r="A2" s="6" t="s">
        <v>6</v>
      </c>
      <c r="B2" s="6">
        <v>48</v>
      </c>
      <c r="C2" s="41"/>
      <c r="E2" s="5" t="s">
        <v>16</v>
      </c>
      <c r="F2" s="43">
        <f>+F1-B3</f>
        <v>1728</v>
      </c>
      <c r="G2" s="6" t="s">
        <v>18</v>
      </c>
      <c r="I2" s="41"/>
      <c r="J2" s="188" t="s">
        <v>164</v>
      </c>
    </row>
    <row r="3" spans="1:12" x14ac:dyDescent="0.3">
      <c r="A3" s="28" t="s">
        <v>0</v>
      </c>
      <c r="B3" s="29">
        <f>B1*B2</f>
        <v>0</v>
      </c>
      <c r="I3" s="41"/>
      <c r="J3" s="41"/>
      <c r="K3" s="41"/>
      <c r="L3" s="41"/>
    </row>
    <row r="4" spans="1:12" x14ac:dyDescent="0.3">
      <c r="A4" s="6" t="s">
        <v>8</v>
      </c>
      <c r="B4" s="6">
        <v>3</v>
      </c>
      <c r="F4" s="44"/>
      <c r="I4" s="41"/>
      <c r="J4" s="41"/>
      <c r="K4" s="41"/>
      <c r="L4" s="41"/>
    </row>
    <row r="5" spans="1:12" x14ac:dyDescent="0.3">
      <c r="A5" s="28" t="s">
        <v>1</v>
      </c>
      <c r="B5" s="29">
        <f>B3*B4</f>
        <v>0</v>
      </c>
      <c r="C5" s="212"/>
      <c r="F5" s="41"/>
      <c r="J5" s="41"/>
      <c r="K5" s="41"/>
      <c r="L5" s="41"/>
    </row>
    <row r="6" spans="1:12" x14ac:dyDescent="0.3">
      <c r="A6" s="6" t="s">
        <v>9</v>
      </c>
      <c r="B6" s="6">
        <v>10</v>
      </c>
    </row>
    <row r="7" spans="1:12" x14ac:dyDescent="0.3">
      <c r="A7" s="28" t="s">
        <v>2</v>
      </c>
      <c r="B7" s="29">
        <f>B5*B6</f>
        <v>0</v>
      </c>
      <c r="C7" s="212"/>
    </row>
    <row r="8" spans="1:12" x14ac:dyDescent="0.3">
      <c r="A8" s="6" t="s">
        <v>7</v>
      </c>
      <c r="B8" s="6">
        <v>0.4</v>
      </c>
      <c r="K8" s="77"/>
    </row>
    <row r="9" spans="1:12" x14ac:dyDescent="0.3">
      <c r="A9" s="28" t="s">
        <v>4</v>
      </c>
      <c r="B9" s="29">
        <f>B7*B8</f>
        <v>0</v>
      </c>
      <c r="J9" s="77"/>
    </row>
    <row r="10" spans="1:12" x14ac:dyDescent="0.3">
      <c r="J10" s="77"/>
    </row>
    <row r="11" spans="1:12" x14ac:dyDescent="0.3">
      <c r="A11" s="1">
        <v>45954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237" t="s">
        <v>17</v>
      </c>
    </row>
    <row r="12" spans="1:12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31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8"/>
    </row>
    <row r="13" spans="1:12" s="48" customFormat="1" x14ac:dyDescent="0.3">
      <c r="A13" s="6"/>
      <c r="B13" s="63"/>
      <c r="C13" s="9"/>
      <c r="D13" s="27"/>
      <c r="E13" s="142">
        <f t="shared" ref="E13:E15" si="0">(C13*$B$2)+D13</f>
        <v>0</v>
      </c>
      <c r="F13" s="31">
        <f t="shared" ref="F13:F15" si="1">E13*$B$4*$B$6</f>
        <v>0</v>
      </c>
      <c r="G13" s="31">
        <f t="shared" ref="G13:G15" si="2">F13*$B$8</f>
        <v>0</v>
      </c>
      <c r="H13" s="67"/>
      <c r="I13" s="21"/>
      <c r="J13" s="33">
        <f>I13-G13-H13</f>
        <v>0</v>
      </c>
      <c r="K13" s="24" t="s">
        <v>19</v>
      </c>
    </row>
    <row r="14" spans="1:12" s="48" customFormat="1" x14ac:dyDescent="0.3">
      <c r="A14" s="6"/>
      <c r="B14" s="63"/>
      <c r="C14" s="9"/>
      <c r="D14" s="27"/>
      <c r="E14" s="142">
        <f t="shared" ref="E14" si="3">(C14*$B$2)+D14</f>
        <v>0</v>
      </c>
      <c r="F14" s="31">
        <f t="shared" ref="F14" si="4">E14*$B$4*$B$6</f>
        <v>0</v>
      </c>
      <c r="G14" s="31">
        <f t="shared" ref="G14" si="5">F14*$B$8</f>
        <v>0</v>
      </c>
      <c r="H14" s="67"/>
      <c r="I14" s="21"/>
      <c r="J14" s="33">
        <f>I14-G14-H14</f>
        <v>0</v>
      </c>
      <c r="K14" s="24" t="s">
        <v>52</v>
      </c>
    </row>
    <row r="15" spans="1:12" s="48" customFormat="1" x14ac:dyDescent="0.3">
      <c r="A15" s="6"/>
      <c r="B15" s="63"/>
      <c r="C15" s="9"/>
      <c r="D15" s="64"/>
      <c r="E15" s="142">
        <f t="shared" si="0"/>
        <v>0</v>
      </c>
      <c r="F15" s="31">
        <f t="shared" si="1"/>
        <v>0</v>
      </c>
      <c r="G15" s="31">
        <f t="shared" si="2"/>
        <v>0</v>
      </c>
      <c r="H15" s="10"/>
      <c r="I15" s="21"/>
      <c r="J15" s="33">
        <f>I15-G15-H15</f>
        <v>0</v>
      </c>
    </row>
    <row r="16" spans="1:12" s="48" customFormat="1" x14ac:dyDescent="0.3">
      <c r="A16" s="6"/>
      <c r="B16" s="63"/>
      <c r="C16" s="9"/>
      <c r="D16" s="64"/>
      <c r="E16" s="142">
        <f t="shared" ref="E16:E17" si="6">(C16*$B$2)+D16</f>
        <v>0</v>
      </c>
      <c r="F16" s="31">
        <f t="shared" ref="F16" si="7">E16*$B$4*$B$6</f>
        <v>0</v>
      </c>
      <c r="G16" s="31">
        <f t="shared" ref="G16" si="8">F16*$B$8</f>
        <v>0</v>
      </c>
      <c r="H16" s="10"/>
      <c r="I16" s="21"/>
      <c r="J16" s="33">
        <f>I16-G16-H16</f>
        <v>0</v>
      </c>
      <c r="K16" s="24"/>
    </row>
    <row r="17" spans="1:13" x14ac:dyDescent="0.3">
      <c r="A17" s="6"/>
      <c r="B17" s="63"/>
      <c r="C17" s="9"/>
      <c r="D17" s="64"/>
      <c r="E17" s="142">
        <f t="shared" si="6"/>
        <v>0</v>
      </c>
      <c r="F17" s="31">
        <f t="shared" ref="F17:F18" si="9">E17*$B$4*$B$6</f>
        <v>0</v>
      </c>
      <c r="G17" s="31">
        <f t="shared" ref="G17:G18" si="10">F17*$B$8</f>
        <v>0</v>
      </c>
      <c r="H17" s="10"/>
      <c r="I17" s="21"/>
      <c r="J17" s="33">
        <f>I17-G17-G18-H17</f>
        <v>0</v>
      </c>
      <c r="K17" s="24"/>
    </row>
    <row r="18" spans="1:13" x14ac:dyDescent="0.3">
      <c r="A18" s="6"/>
      <c r="B18" s="63"/>
      <c r="C18" s="9"/>
      <c r="D18" s="27"/>
      <c r="E18" s="142">
        <f t="shared" ref="E18" si="11">(C18*$B$2)+D18</f>
        <v>0</v>
      </c>
      <c r="F18" s="31">
        <f t="shared" si="9"/>
        <v>0</v>
      </c>
      <c r="G18" s="31">
        <f t="shared" si="10"/>
        <v>0</v>
      </c>
      <c r="H18" s="10"/>
      <c r="I18" s="10"/>
      <c r="J18" s="33"/>
      <c r="K18" s="24"/>
      <c r="M18" s="12"/>
    </row>
    <row r="19" spans="1:13" x14ac:dyDescent="0.3">
      <c r="A19" s="6"/>
      <c r="B19" s="63"/>
      <c r="C19" s="9"/>
      <c r="D19" s="9"/>
      <c r="E19" s="142">
        <f t="shared" ref="E19:E20" si="12">(C19*$B$2)+D19</f>
        <v>0</v>
      </c>
      <c r="F19" s="31">
        <f t="shared" ref="F19:F20" si="13">E19*$B$4*$B$6</f>
        <v>0</v>
      </c>
      <c r="G19" s="31">
        <f t="shared" ref="G19:G20" si="14">F19*$B$8</f>
        <v>0</v>
      </c>
      <c r="H19" s="10"/>
      <c r="I19" s="21"/>
      <c r="J19" s="33">
        <f t="shared" ref="J19" si="15">I19-G19-H19</f>
        <v>0</v>
      </c>
      <c r="K19" s="24"/>
      <c r="M19" s="12"/>
    </row>
    <row r="20" spans="1:13" x14ac:dyDescent="0.3">
      <c r="A20" s="6"/>
      <c r="B20" s="6"/>
      <c r="C20" s="9"/>
      <c r="D20" s="9"/>
      <c r="E20" s="142">
        <f t="shared" si="12"/>
        <v>0</v>
      </c>
      <c r="F20" s="31">
        <f t="shared" si="13"/>
        <v>0</v>
      </c>
      <c r="G20" s="31">
        <f t="shared" si="14"/>
        <v>0</v>
      </c>
      <c r="H20" s="155"/>
      <c r="I20" s="21"/>
      <c r="J20" s="33"/>
      <c r="K20" s="24"/>
      <c r="M20" s="12"/>
    </row>
    <row r="21" spans="1:13" x14ac:dyDescent="0.3">
      <c r="A21" s="5" t="s">
        <v>11</v>
      </c>
      <c r="B21" s="6"/>
      <c r="C21" s="32">
        <f>SUM(C13:C20)</f>
        <v>0</v>
      </c>
      <c r="D21" s="32">
        <f>SUM(D13:D20)</f>
        <v>0</v>
      </c>
      <c r="E21" s="32">
        <f t="shared" ref="E21:H21" si="16">SUM(E13:E20)</f>
        <v>0</v>
      </c>
      <c r="F21" s="32">
        <f t="shared" si="16"/>
        <v>0</v>
      </c>
      <c r="G21" s="32">
        <f t="shared" si="16"/>
        <v>0</v>
      </c>
      <c r="H21" s="32">
        <f t="shared" si="16"/>
        <v>0</v>
      </c>
      <c r="I21" s="32">
        <f>SUM(I13:I20)</f>
        <v>0</v>
      </c>
      <c r="J21" s="32">
        <f>SUM(J13:J20)</f>
        <v>0</v>
      </c>
      <c r="K21" s="25"/>
    </row>
    <row r="22" spans="1:13" x14ac:dyDescent="0.3">
      <c r="D22" s="44"/>
      <c r="E22" s="4">
        <f>E21/F1</f>
        <v>0</v>
      </c>
    </row>
    <row r="23" spans="1:13" x14ac:dyDescent="0.3">
      <c r="E23" s="4"/>
    </row>
    <row r="24" spans="1:13" x14ac:dyDescent="0.3">
      <c r="E24" s="4"/>
      <c r="F24" s="51" t="s">
        <v>12</v>
      </c>
      <c r="G24" s="51" t="s">
        <v>4</v>
      </c>
      <c r="H24" s="51" t="s">
        <v>14</v>
      </c>
      <c r="I24" s="51" t="s">
        <v>13</v>
      </c>
      <c r="J24" s="51" t="s">
        <v>15</v>
      </c>
    </row>
    <row r="25" spans="1:13" x14ac:dyDescent="0.3">
      <c r="F25" s="26" t="s">
        <v>25</v>
      </c>
      <c r="G25" s="27">
        <f>SUMIF($B$13:$B$19,$F$25,G13:G19)</f>
        <v>0</v>
      </c>
      <c r="H25" s="27">
        <f>SUMIF($B$13:$B$19,$F$25,H13:H19)</f>
        <v>0</v>
      </c>
      <c r="I25" s="27">
        <f>SUMIF($B$13:$B$19,$F$25,I13:I19)</f>
        <v>0</v>
      </c>
      <c r="J25" s="27">
        <f>SUMIF($B$13:$B$19,$F$25,J13:J19)</f>
        <v>0</v>
      </c>
    </row>
    <row r="26" spans="1:13" x14ac:dyDescent="0.3">
      <c r="F26" s="14" t="s">
        <v>27</v>
      </c>
      <c r="G26" s="27">
        <f>SUMIF($B$13:$B$19,$F$26,G13:G19)</f>
        <v>0</v>
      </c>
      <c r="H26" s="27">
        <f>SUMIF($B$13:$B$19,$F$26,H13:H19)</f>
        <v>0</v>
      </c>
      <c r="I26" s="27">
        <f>SUMIF($B$13:$B$19,$F$26,I13:I19)</f>
        <v>0</v>
      </c>
      <c r="J26" s="27">
        <f>SUMIF($B$13:$B$19,$F$25,J15:J21)</f>
        <v>0</v>
      </c>
    </row>
    <row r="27" spans="1:13" x14ac:dyDescent="0.3">
      <c r="F27" s="8" t="s">
        <v>34</v>
      </c>
      <c r="G27" s="7">
        <f>SUM(G25:G26)</f>
        <v>0</v>
      </c>
      <c r="H27" s="7">
        <f t="shared" ref="H27:I27" si="17">SUM(H25:H26)</f>
        <v>0</v>
      </c>
      <c r="I27" s="7">
        <f t="shared" si="17"/>
        <v>0</v>
      </c>
      <c r="J27" s="27">
        <f ca="1">SUMIF($B$13:$B$19,$F$25,J18:J22)</f>
        <v>0</v>
      </c>
    </row>
    <row r="28" spans="1:13" x14ac:dyDescent="0.3">
      <c r="F28" s="125"/>
      <c r="G28" s="126"/>
      <c r="H28" s="126"/>
      <c r="I28" s="126"/>
      <c r="J28" s="44"/>
    </row>
    <row r="29" spans="1:13" x14ac:dyDescent="0.3">
      <c r="F29" s="125"/>
      <c r="G29" s="126"/>
      <c r="H29" s="126"/>
      <c r="I29" s="126"/>
      <c r="J29" s="126"/>
    </row>
    <row r="31" spans="1:13" ht="36.6" x14ac:dyDescent="0.7">
      <c r="A31" s="127" t="s">
        <v>77</v>
      </c>
    </row>
    <row r="33" spans="1:11" ht="21" x14ac:dyDescent="0.4">
      <c r="A33" s="28" t="s">
        <v>3</v>
      </c>
      <c r="B33" s="113">
        <f>C51+(D51/B34)</f>
        <v>2.8333333333333335</v>
      </c>
      <c r="C33" s="69">
        <v>13</v>
      </c>
      <c r="E33" s="5" t="s">
        <v>26</v>
      </c>
      <c r="F33" s="6">
        <v>384</v>
      </c>
      <c r="G33" s="6" t="s">
        <v>18</v>
      </c>
      <c r="I33" s="41"/>
      <c r="J33" s="138"/>
    </row>
    <row r="34" spans="1:11" ht="21" x14ac:dyDescent="0.4">
      <c r="A34" s="6" t="s">
        <v>6</v>
      </c>
      <c r="B34" s="6">
        <v>48</v>
      </c>
      <c r="C34" s="225"/>
      <c r="E34" s="5" t="s">
        <v>16</v>
      </c>
      <c r="F34" s="43"/>
      <c r="G34" s="6" t="s">
        <v>18</v>
      </c>
      <c r="I34" s="41"/>
      <c r="J34" s="188" t="s">
        <v>164</v>
      </c>
    </row>
    <row r="35" spans="1:11" x14ac:dyDescent="0.3">
      <c r="A35" s="28" t="s">
        <v>0</v>
      </c>
      <c r="B35" s="29">
        <f>B33*B34</f>
        <v>136</v>
      </c>
      <c r="C35" s="47"/>
      <c r="I35" s="41"/>
      <c r="J35" s="41"/>
      <c r="K35" s="41"/>
    </row>
    <row r="36" spans="1:11" x14ac:dyDescent="0.3">
      <c r="A36" s="6" t="s">
        <v>8</v>
      </c>
      <c r="B36" s="6">
        <v>3</v>
      </c>
      <c r="C36" s="47"/>
      <c r="F36" s="44"/>
      <c r="I36" s="41"/>
      <c r="J36" s="41"/>
      <c r="K36" s="41"/>
    </row>
    <row r="37" spans="1:11" x14ac:dyDescent="0.3">
      <c r="A37" s="28" t="s">
        <v>1</v>
      </c>
      <c r="B37" s="29">
        <f>B35*B36</f>
        <v>408</v>
      </c>
      <c r="C37" s="151">
        <f>+B37+2</f>
        <v>410</v>
      </c>
      <c r="F37" s="41"/>
      <c r="J37" s="41"/>
      <c r="K37" s="41"/>
    </row>
    <row r="38" spans="1:11" x14ac:dyDescent="0.3">
      <c r="A38" s="6" t="s">
        <v>9</v>
      </c>
      <c r="B38" s="6">
        <v>10</v>
      </c>
      <c r="C38" s="47"/>
    </row>
    <row r="39" spans="1:11" x14ac:dyDescent="0.3">
      <c r="A39" s="28" t="s">
        <v>2</v>
      </c>
      <c r="B39" s="29">
        <f>B37*B38</f>
        <v>4080</v>
      </c>
      <c r="C39" s="151">
        <f>+B39+20</f>
        <v>4100</v>
      </c>
    </row>
    <row r="40" spans="1:11" x14ac:dyDescent="0.3">
      <c r="A40" s="6" t="s">
        <v>7</v>
      </c>
      <c r="B40" s="6">
        <v>0.4</v>
      </c>
      <c r="K40" s="77"/>
    </row>
    <row r="41" spans="1:11" x14ac:dyDescent="0.3">
      <c r="A41" s="28" t="s">
        <v>4</v>
      </c>
      <c r="B41" s="29">
        <f>B39*B40</f>
        <v>1632</v>
      </c>
      <c r="J41" s="77"/>
    </row>
    <row r="42" spans="1:11" x14ac:dyDescent="0.3">
      <c r="J42" s="77"/>
      <c r="K42" s="77"/>
    </row>
    <row r="43" spans="1:11" x14ac:dyDescent="0.3">
      <c r="A43" s="1">
        <v>45925</v>
      </c>
      <c r="B43" s="12"/>
      <c r="C43" s="12"/>
      <c r="D43" s="12"/>
      <c r="E43" s="228" t="s">
        <v>12</v>
      </c>
      <c r="F43" s="228"/>
      <c r="G43" s="228" t="s">
        <v>12</v>
      </c>
      <c r="H43" s="18" t="s">
        <v>14</v>
      </c>
      <c r="I43" s="19" t="s">
        <v>13</v>
      </c>
      <c r="J43" s="30" t="s">
        <v>15</v>
      </c>
      <c r="K43" s="237" t="s">
        <v>17</v>
      </c>
    </row>
    <row r="44" spans="1:11" x14ac:dyDescent="0.3">
      <c r="A44" s="13" t="s">
        <v>24</v>
      </c>
      <c r="B44" s="13" t="s">
        <v>20</v>
      </c>
      <c r="C44" s="13" t="s">
        <v>3</v>
      </c>
      <c r="D44" s="15" t="s">
        <v>10</v>
      </c>
      <c r="E44" s="30" t="s">
        <v>31</v>
      </c>
      <c r="F44" s="30" t="s">
        <v>5</v>
      </c>
      <c r="G44" s="30" t="s">
        <v>4</v>
      </c>
      <c r="H44" s="18" t="s">
        <v>4</v>
      </c>
      <c r="I44" s="19" t="s">
        <v>4</v>
      </c>
      <c r="J44" s="30" t="s">
        <v>4</v>
      </c>
      <c r="K44" s="238"/>
    </row>
    <row r="45" spans="1:11" s="48" customFormat="1" x14ac:dyDescent="0.3">
      <c r="A45" s="207" t="s">
        <v>192</v>
      </c>
      <c r="B45" s="63" t="s">
        <v>191</v>
      </c>
      <c r="C45" s="9">
        <v>2</v>
      </c>
      <c r="D45" s="16">
        <f>23+17</f>
        <v>40</v>
      </c>
      <c r="E45" s="31">
        <f>(C45*$B$2)+D45</f>
        <v>136</v>
      </c>
      <c r="F45" s="31">
        <f>E45*$B$4*$B$6</f>
        <v>4080</v>
      </c>
      <c r="G45" s="31">
        <f>F45*$B$8</f>
        <v>1632</v>
      </c>
      <c r="H45" s="10">
        <v>7</v>
      </c>
      <c r="I45" s="21">
        <v>1329</v>
      </c>
      <c r="J45" s="33">
        <f>I45-G45-H45</f>
        <v>-310</v>
      </c>
      <c r="K45" s="24" t="s">
        <v>19</v>
      </c>
    </row>
    <row r="46" spans="1:11" s="48" customFormat="1" x14ac:dyDescent="0.3">
      <c r="A46" s="6"/>
      <c r="B46" s="63"/>
      <c r="C46" s="9"/>
      <c r="D46" s="16"/>
      <c r="E46" s="31">
        <f t="shared" ref="E46:E47" si="18">(C46*$B$2)+D46</f>
        <v>0</v>
      </c>
      <c r="F46" s="31">
        <v>20</v>
      </c>
      <c r="G46" s="31">
        <f>F46*$B$8</f>
        <v>8</v>
      </c>
      <c r="H46" s="67"/>
      <c r="I46" s="21"/>
      <c r="J46" s="33">
        <f>I46-G46-H46</f>
        <v>-8</v>
      </c>
      <c r="K46" s="24" t="s">
        <v>52</v>
      </c>
    </row>
    <row r="47" spans="1:11" x14ac:dyDescent="0.3">
      <c r="A47" s="6"/>
      <c r="B47" s="63"/>
      <c r="C47" s="9"/>
      <c r="D47" s="64"/>
      <c r="E47" s="31">
        <f t="shared" si="18"/>
        <v>0</v>
      </c>
      <c r="F47" s="31">
        <f t="shared" ref="F47:F48" si="19">E47*$B$4*$B$6</f>
        <v>0</v>
      </c>
      <c r="G47" s="31">
        <f t="shared" ref="G47:G48" si="20">F47*$B$8</f>
        <v>0</v>
      </c>
      <c r="H47" s="10"/>
      <c r="I47" s="21"/>
      <c r="J47" s="33">
        <f t="shared" ref="J47" si="21">I47-G47-H47</f>
        <v>0</v>
      </c>
      <c r="K47" s="24" t="s">
        <v>52</v>
      </c>
    </row>
    <row r="48" spans="1:11" x14ac:dyDescent="0.3">
      <c r="A48" s="6"/>
      <c r="B48" s="63"/>
      <c r="C48" s="9"/>
      <c r="D48" s="65"/>
      <c r="E48" s="31"/>
      <c r="F48" s="31">
        <f t="shared" si="19"/>
        <v>0</v>
      </c>
      <c r="G48" s="31">
        <f t="shared" si="20"/>
        <v>0</v>
      </c>
      <c r="H48" s="10"/>
      <c r="I48" s="208"/>
      <c r="J48" s="223">
        <f>+J46+J45</f>
        <v>-318</v>
      </c>
      <c r="K48" s="224" t="s">
        <v>28</v>
      </c>
    </row>
    <row r="49" spans="1:11" s="48" customFormat="1" x14ac:dyDescent="0.3">
      <c r="A49" s="207"/>
      <c r="B49" s="63"/>
      <c r="C49" s="9"/>
      <c r="D49" s="16"/>
      <c r="E49" s="31">
        <f t="shared" ref="E49:E50" si="22">(C49*$B$2)+D49</f>
        <v>0</v>
      </c>
      <c r="F49" s="31">
        <f t="shared" ref="F49:F50" si="23">E49*$B$4*$B$6</f>
        <v>0</v>
      </c>
      <c r="G49" s="31">
        <f t="shared" ref="G49:G50" si="24">F49*$B$8</f>
        <v>0</v>
      </c>
      <c r="H49" s="67"/>
      <c r="I49" s="21"/>
      <c r="J49" s="33">
        <f>I49-G49-H49</f>
        <v>0</v>
      </c>
      <c r="K49" s="24"/>
    </row>
    <row r="50" spans="1:11" x14ac:dyDescent="0.3">
      <c r="A50" s="6"/>
      <c r="B50" s="63"/>
      <c r="C50" s="9"/>
      <c r="D50" s="64"/>
      <c r="E50" s="31">
        <f t="shared" si="22"/>
        <v>0</v>
      </c>
      <c r="F50" s="31">
        <f t="shared" si="23"/>
        <v>0</v>
      </c>
      <c r="G50" s="31">
        <f t="shared" si="24"/>
        <v>0</v>
      </c>
      <c r="H50" s="10"/>
      <c r="I50" s="21"/>
      <c r="J50" s="33">
        <f>I50-G50-H50</f>
        <v>0</v>
      </c>
      <c r="K50" s="24"/>
    </row>
    <row r="51" spans="1:11" x14ac:dyDescent="0.3">
      <c r="A51" s="5" t="s">
        <v>11</v>
      </c>
      <c r="B51" s="6"/>
      <c r="C51" s="7">
        <f t="shared" ref="C51:H51" si="25">SUM(C45:C50)</f>
        <v>2</v>
      </c>
      <c r="D51" s="17">
        <f t="shared" si="25"/>
        <v>40</v>
      </c>
      <c r="E51" s="32">
        <f t="shared" si="25"/>
        <v>136</v>
      </c>
      <c r="F51" s="32">
        <f t="shared" si="25"/>
        <v>4100</v>
      </c>
      <c r="G51" s="32">
        <f t="shared" si="25"/>
        <v>1640</v>
      </c>
      <c r="H51" s="32">
        <f t="shared" si="25"/>
        <v>7</v>
      </c>
      <c r="I51" s="22"/>
      <c r="J51" s="34"/>
      <c r="K51" s="25"/>
    </row>
    <row r="52" spans="1:11" x14ac:dyDescent="0.3">
      <c r="E52" s="4">
        <f>E51/F33</f>
        <v>0.35416666666666669</v>
      </c>
    </row>
    <row r="53" spans="1:11" x14ac:dyDescent="0.3">
      <c r="E53" s="4"/>
    </row>
    <row r="54" spans="1:11" x14ac:dyDescent="0.3">
      <c r="E54" s="4"/>
      <c r="F54" s="51" t="s">
        <v>12</v>
      </c>
      <c r="G54" s="51" t="s">
        <v>4</v>
      </c>
      <c r="H54" s="51" t="s">
        <v>14</v>
      </c>
      <c r="I54" s="51" t="s">
        <v>13</v>
      </c>
      <c r="J54" s="51" t="s">
        <v>15</v>
      </c>
    </row>
    <row r="55" spans="1:11" x14ac:dyDescent="0.3">
      <c r="F55" s="26" t="s">
        <v>25</v>
      </c>
      <c r="G55" s="27">
        <f ca="1">SUMIF($B$13:$B$19,$F$25,G45:G50)</f>
        <v>0</v>
      </c>
      <c r="H55" s="27">
        <f ca="1">SUMIF($B$13:$B$19,$F$25,H45:H50)</f>
        <v>0</v>
      </c>
      <c r="I55" s="27">
        <f ca="1">SUMIF($B$13:$B$19,$F$25,I45:I50)</f>
        <v>0</v>
      </c>
      <c r="J55" s="27">
        <f ca="1">SUMIF($B$13:$B$19,$F$25,J45:J50)</f>
        <v>0</v>
      </c>
    </row>
    <row r="56" spans="1:11" x14ac:dyDescent="0.3">
      <c r="F56" s="14" t="s">
        <v>27</v>
      </c>
      <c r="G56" s="27">
        <f ca="1">SUMIF($B$13:$B$19,$F$26,G45:G50)</f>
        <v>0</v>
      </c>
      <c r="H56" s="27">
        <f ca="1">SUMIF($B$13:$B$19,$F$26,H45:H50)</f>
        <v>0</v>
      </c>
      <c r="I56" s="27">
        <f ca="1">SUMIF($B$13:$B$19,$F$26,I45:I50)</f>
        <v>0</v>
      </c>
      <c r="J56" s="27">
        <f ca="1">SUMIF($B$13:$B$19,$F$25,J46:J51)</f>
        <v>0</v>
      </c>
    </row>
    <row r="57" spans="1:11" x14ac:dyDescent="0.3">
      <c r="F57" s="8" t="s">
        <v>34</v>
      </c>
      <c r="G57" s="7">
        <f ca="1">SUM(G55:G56)</f>
        <v>0</v>
      </c>
      <c r="H57" s="7">
        <f t="shared" ref="H57:I57" ca="1" si="26">SUM(H55:H56)</f>
        <v>0</v>
      </c>
      <c r="I57" s="7">
        <f t="shared" ca="1" si="26"/>
        <v>0</v>
      </c>
      <c r="J57" s="27">
        <f ca="1">SUMIF($B$13:$B$19,$F$25,J49:J52)</f>
        <v>0</v>
      </c>
    </row>
    <row r="58" spans="1:11" x14ac:dyDescent="0.3">
      <c r="F58" s="125"/>
      <c r="G58" s="126"/>
      <c r="H58" s="126"/>
      <c r="I58" s="126"/>
      <c r="J58" s="126"/>
    </row>
    <row r="61" spans="1:11" ht="36.6" x14ac:dyDescent="0.7">
      <c r="A61" s="127" t="s">
        <v>76</v>
      </c>
    </row>
    <row r="63" spans="1:11" ht="21" x14ac:dyDescent="0.4">
      <c r="A63" s="28" t="s">
        <v>3</v>
      </c>
      <c r="B63" s="113">
        <f>C81+(D81/B64)</f>
        <v>0</v>
      </c>
      <c r="C63" s="69"/>
      <c r="E63" s="5" t="s">
        <v>26</v>
      </c>
      <c r="F63" s="6">
        <v>1680</v>
      </c>
      <c r="G63" s="6" t="s">
        <v>18</v>
      </c>
      <c r="I63" s="138" t="s">
        <v>107</v>
      </c>
    </row>
    <row r="64" spans="1:11" x14ac:dyDescent="0.3">
      <c r="A64" s="6" t="s">
        <v>6</v>
      </c>
      <c r="B64" s="6">
        <v>48</v>
      </c>
      <c r="C64" s="41"/>
      <c r="E64" s="5" t="s">
        <v>16</v>
      </c>
      <c r="F64" s="43">
        <f>F63-(B35+B65+B3)</f>
        <v>1544</v>
      </c>
      <c r="G64" s="6" t="s">
        <v>18</v>
      </c>
      <c r="I64" s="41" t="s">
        <v>114</v>
      </c>
      <c r="K64" s="41"/>
    </row>
    <row r="65" spans="1:11" x14ac:dyDescent="0.3">
      <c r="A65" s="28" t="s">
        <v>0</v>
      </c>
      <c r="B65" s="29">
        <f>B63*B64</f>
        <v>0</v>
      </c>
      <c r="C65" s="151"/>
      <c r="F65" s="44"/>
      <c r="I65" s="41" t="s">
        <v>110</v>
      </c>
      <c r="J65" s="41" t="s">
        <v>113</v>
      </c>
      <c r="K65" s="41"/>
    </row>
    <row r="66" spans="1:11" x14ac:dyDescent="0.3">
      <c r="A66" s="6" t="s">
        <v>8</v>
      </c>
      <c r="B66" s="6">
        <v>3</v>
      </c>
      <c r="I66" s="41"/>
      <c r="J66" s="41" t="s">
        <v>112</v>
      </c>
      <c r="K66" s="41"/>
    </row>
    <row r="67" spans="1:11" x14ac:dyDescent="0.3">
      <c r="A67" s="28" t="s">
        <v>1</v>
      </c>
      <c r="B67" s="29">
        <f>B65*B66</f>
        <v>0</v>
      </c>
      <c r="C67" s="151"/>
      <c r="I67" s="41"/>
      <c r="J67" s="41" t="s">
        <v>111</v>
      </c>
    </row>
    <row r="68" spans="1:11" x14ac:dyDescent="0.3">
      <c r="A68" s="6" t="s">
        <v>9</v>
      </c>
      <c r="B68" s="6">
        <v>10</v>
      </c>
    </row>
    <row r="69" spans="1:11" x14ac:dyDescent="0.3">
      <c r="A69" s="28" t="s">
        <v>2</v>
      </c>
      <c r="B69" s="29">
        <f>B67*B68</f>
        <v>0</v>
      </c>
      <c r="C69" s="151"/>
    </row>
    <row r="70" spans="1:11" x14ac:dyDescent="0.3">
      <c r="A70" s="6" t="s">
        <v>7</v>
      </c>
      <c r="B70" s="6">
        <v>0.4</v>
      </c>
      <c r="K70" s="77"/>
    </row>
    <row r="71" spans="1:11" x14ac:dyDescent="0.3">
      <c r="A71" s="28" t="s">
        <v>4</v>
      </c>
      <c r="B71" s="29">
        <f>B69*B70</f>
        <v>0</v>
      </c>
      <c r="C71" s="151"/>
      <c r="J71" s="77"/>
    </row>
    <row r="72" spans="1:11" x14ac:dyDescent="0.3">
      <c r="J72" s="77"/>
    </row>
    <row r="73" spans="1:11" x14ac:dyDescent="0.3">
      <c r="A73" s="1"/>
      <c r="B73" s="12"/>
      <c r="C73" s="12"/>
      <c r="D73" s="12"/>
      <c r="E73" s="228" t="s">
        <v>12</v>
      </c>
      <c r="F73" s="228"/>
      <c r="G73" s="228" t="s">
        <v>12</v>
      </c>
      <c r="H73" s="18" t="s">
        <v>14</v>
      </c>
      <c r="I73" s="19" t="s">
        <v>13</v>
      </c>
      <c r="J73" s="30" t="s">
        <v>15</v>
      </c>
      <c r="K73" s="237" t="s">
        <v>17</v>
      </c>
    </row>
    <row r="74" spans="1:11" x14ac:dyDescent="0.3">
      <c r="A74" s="13" t="s">
        <v>24</v>
      </c>
      <c r="B74" s="13" t="s">
        <v>20</v>
      </c>
      <c r="C74" s="13" t="s">
        <v>3</v>
      </c>
      <c r="D74" s="15" t="s">
        <v>10</v>
      </c>
      <c r="E74" s="30" t="s">
        <v>31</v>
      </c>
      <c r="F74" s="30" t="s">
        <v>5</v>
      </c>
      <c r="G74" s="30" t="s">
        <v>4</v>
      </c>
      <c r="H74" s="18" t="s">
        <v>4</v>
      </c>
      <c r="I74" s="19" t="s">
        <v>4</v>
      </c>
      <c r="J74" s="30" t="s">
        <v>4</v>
      </c>
      <c r="K74" s="238"/>
    </row>
    <row r="75" spans="1:11" s="48" customFormat="1" x14ac:dyDescent="0.3">
      <c r="A75" s="63"/>
      <c r="B75" s="63"/>
      <c r="C75" s="64"/>
      <c r="D75" s="65"/>
      <c r="E75" s="66">
        <f>(C75*$B$2)+D75</f>
        <v>0</v>
      </c>
      <c r="F75" s="66">
        <f>E75*$B$4*$B$6</f>
        <v>0</v>
      </c>
      <c r="G75" s="66">
        <f t="shared" ref="G75:G79" si="27">F75*$B$8</f>
        <v>0</v>
      </c>
      <c r="H75" s="67"/>
      <c r="I75" s="139"/>
      <c r="J75" s="33">
        <f>I75-G75-H75</f>
        <v>0</v>
      </c>
      <c r="K75" s="24"/>
    </row>
    <row r="76" spans="1:11" x14ac:dyDescent="0.3">
      <c r="A76" s="63"/>
      <c r="B76" s="63"/>
      <c r="C76" s="9"/>
      <c r="D76" s="16"/>
      <c r="E76" s="31">
        <f t="shared" ref="E76:E79" si="28">(C76*$B$2)+D76</f>
        <v>0</v>
      </c>
      <c r="F76" s="31">
        <f t="shared" ref="F76:F79" si="29">E76*$B$4*$B$6</f>
        <v>0</v>
      </c>
      <c r="G76" s="31">
        <f t="shared" si="27"/>
        <v>0</v>
      </c>
      <c r="H76" s="10"/>
      <c r="I76" s="21"/>
      <c r="J76" s="33">
        <f t="shared" ref="J76:J79" si="30">I76-G76-H76</f>
        <v>0</v>
      </c>
      <c r="K76" s="24"/>
    </row>
    <row r="77" spans="1:11" x14ac:dyDescent="0.3">
      <c r="A77" s="63"/>
      <c r="B77" s="63"/>
      <c r="C77" s="9"/>
      <c r="D77" s="16"/>
      <c r="E77" s="31">
        <f>(C77*$B$2)+D77</f>
        <v>0</v>
      </c>
      <c r="F77" s="31">
        <f>E77*$B$4*$B$6</f>
        <v>0</v>
      </c>
      <c r="G77" s="31">
        <f>F77*$B$8</f>
        <v>0</v>
      </c>
      <c r="H77" s="10"/>
      <c r="I77" s="21"/>
      <c r="J77" s="33">
        <f t="shared" si="30"/>
        <v>0</v>
      </c>
      <c r="K77" s="24"/>
    </row>
    <row r="78" spans="1:11" x14ac:dyDescent="0.3">
      <c r="A78" s="6"/>
      <c r="B78" s="6"/>
      <c r="C78" s="9"/>
      <c r="D78" s="16"/>
      <c r="E78" s="31">
        <f t="shared" si="28"/>
        <v>0</v>
      </c>
      <c r="F78" s="31">
        <f t="shared" si="29"/>
        <v>0</v>
      </c>
      <c r="G78" s="31">
        <f t="shared" si="27"/>
        <v>0</v>
      </c>
      <c r="H78" s="10"/>
      <c r="I78" s="21"/>
      <c r="J78" s="33">
        <f t="shared" si="30"/>
        <v>0</v>
      </c>
      <c r="K78" s="24"/>
    </row>
    <row r="79" spans="1:11" x14ac:dyDescent="0.3">
      <c r="A79" s="6"/>
      <c r="B79" s="6"/>
      <c r="C79" s="9"/>
      <c r="D79" s="16"/>
      <c r="E79" s="31">
        <f t="shared" si="28"/>
        <v>0</v>
      </c>
      <c r="F79" s="31">
        <f t="shared" si="29"/>
        <v>0</v>
      </c>
      <c r="G79" s="31">
        <f t="shared" si="27"/>
        <v>0</v>
      </c>
      <c r="H79" s="10"/>
      <c r="I79" s="21"/>
      <c r="J79" s="33">
        <f t="shared" si="30"/>
        <v>0</v>
      </c>
      <c r="K79" s="24"/>
    </row>
    <row r="80" spans="1:11" x14ac:dyDescent="0.3">
      <c r="A80" s="6"/>
      <c r="B80" s="6"/>
      <c r="C80" s="9"/>
      <c r="D80" s="16"/>
      <c r="E80" s="31">
        <f t="shared" ref="E80" si="31">(C80*$B$2)+D80</f>
        <v>0</v>
      </c>
      <c r="F80" s="31">
        <f t="shared" ref="F80" si="32">E80*$B$4*$B$6</f>
        <v>0</v>
      </c>
      <c r="G80" s="31">
        <f t="shared" ref="G80" si="33">F80*$B$8</f>
        <v>0</v>
      </c>
      <c r="H80" s="155"/>
      <c r="I80" s="155"/>
      <c r="J80" s="33">
        <f>+J79-G80</f>
        <v>0</v>
      </c>
      <c r="K80" s="24"/>
    </row>
    <row r="81" spans="1:11" x14ac:dyDescent="0.3">
      <c r="A81" s="5" t="s">
        <v>11</v>
      </c>
      <c r="B81" s="6"/>
      <c r="C81" s="7">
        <f t="shared" ref="C81:I81" si="34">SUM(C75:C79)</f>
        <v>0</v>
      </c>
      <c r="D81" s="17">
        <f>SUM(D75:D79)</f>
        <v>0</v>
      </c>
      <c r="E81" s="32">
        <f t="shared" si="34"/>
        <v>0</v>
      </c>
      <c r="F81" s="32">
        <f>SUM(F75:F80)</f>
        <v>0</v>
      </c>
      <c r="G81" s="32">
        <f>SUM(G75:G80)</f>
        <v>0</v>
      </c>
      <c r="H81" s="32">
        <f t="shared" si="34"/>
        <v>0</v>
      </c>
      <c r="I81" s="32">
        <f t="shared" si="34"/>
        <v>0</v>
      </c>
      <c r="J81" s="32"/>
      <c r="K81" s="25"/>
    </row>
    <row r="82" spans="1:11" x14ac:dyDescent="0.3">
      <c r="E82" s="4"/>
    </row>
    <row r="83" spans="1:11" x14ac:dyDescent="0.3">
      <c r="E83" s="4"/>
    </row>
    <row r="84" spans="1:11" x14ac:dyDescent="0.3">
      <c r="E84" s="4"/>
      <c r="F84" s="51" t="s">
        <v>12</v>
      </c>
      <c r="G84" s="51" t="s">
        <v>4</v>
      </c>
      <c r="H84" s="51" t="s">
        <v>14</v>
      </c>
      <c r="I84" s="51" t="s">
        <v>13</v>
      </c>
    </row>
    <row r="85" spans="1:11" x14ac:dyDescent="0.3">
      <c r="F85" s="26" t="s">
        <v>25</v>
      </c>
      <c r="G85" s="27">
        <f>SUMIF($B$75:$B$80,$F$85,G75:G80)</f>
        <v>0</v>
      </c>
      <c r="H85" s="27">
        <f t="shared" ref="H85:I85" si="35">SUMIF($B$75:$B$80,$F$85,H75:H80)</f>
        <v>0</v>
      </c>
      <c r="I85" s="27">
        <f t="shared" si="35"/>
        <v>0</v>
      </c>
    </row>
    <row r="86" spans="1:11" x14ac:dyDescent="0.3">
      <c r="F86" s="14" t="s">
        <v>27</v>
      </c>
      <c r="G86" s="27">
        <f>SUMIF($B$75:$B$80,$F$86,G75:G80)</f>
        <v>0</v>
      </c>
      <c r="H86" s="27">
        <f t="shared" ref="H86:I86" si="36">SUMIF($B$75:$B$80,$F$86,H75:H80)</f>
        <v>0</v>
      </c>
      <c r="I86" s="27">
        <f t="shared" si="36"/>
        <v>0</v>
      </c>
    </row>
    <row r="87" spans="1:11" x14ac:dyDescent="0.3">
      <c r="F87" s="8" t="s">
        <v>34</v>
      </c>
      <c r="G87" s="7">
        <f>SUM(G85:G86)</f>
        <v>0</v>
      </c>
      <c r="H87" s="7">
        <f t="shared" ref="H87:I87" si="37">SUM(H85:H86)</f>
        <v>0</v>
      </c>
      <c r="I87" s="7">
        <f t="shared" si="37"/>
        <v>0</v>
      </c>
    </row>
  </sheetData>
  <mergeCells count="6">
    <mergeCell ref="E11:G11"/>
    <mergeCell ref="K11:K12"/>
    <mergeCell ref="E43:G43"/>
    <mergeCell ref="K43:K44"/>
    <mergeCell ref="E73:G73"/>
    <mergeCell ref="K73:K74"/>
  </mergeCells>
  <phoneticPr fontId="15" type="noConversion"/>
  <pageMargins left="0.25" right="0.25" top="0.75" bottom="0.75" header="0.3" footer="0.3"/>
  <pageSetup scale="76" fitToHeight="0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6CD93-22CF-432D-9A0B-9CCE9F3EED8F}">
  <sheetPr>
    <pageSetUpPr fitToPage="1"/>
  </sheetPr>
  <dimension ref="A1:K25"/>
  <sheetViews>
    <sheetView showGridLines="0" zoomScaleNormal="100" workbookViewId="0">
      <selection activeCell="M22" sqref="M22"/>
    </sheetView>
  </sheetViews>
  <sheetFormatPr defaultRowHeight="14.4" x14ac:dyDescent="0.3"/>
  <cols>
    <col min="1" max="1" width="28.88671875" bestFit="1" customWidth="1"/>
    <col min="2" max="2" width="10.5546875" bestFit="1" customWidth="1"/>
    <col min="6" max="6" width="11.3320312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112">
        <f>C19+(D19/B2)</f>
        <v>13.8125</v>
      </c>
      <c r="C1" s="69">
        <v>14</v>
      </c>
      <c r="E1" s="5" t="s">
        <v>26</v>
      </c>
      <c r="F1" s="6">
        <v>663</v>
      </c>
      <c r="G1" s="6" t="s">
        <v>18</v>
      </c>
    </row>
    <row r="2" spans="1:11" x14ac:dyDescent="0.3">
      <c r="A2" s="6" t="s">
        <v>6</v>
      </c>
      <c r="B2" s="6">
        <v>48</v>
      </c>
      <c r="E2" s="5" t="s">
        <v>16</v>
      </c>
      <c r="F2" s="73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663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1989</v>
      </c>
    </row>
    <row r="6" spans="1:11" x14ac:dyDescent="0.3">
      <c r="A6" s="6" t="s">
        <v>9</v>
      </c>
      <c r="B6" s="6">
        <v>10</v>
      </c>
      <c r="F6" s="111"/>
    </row>
    <row r="7" spans="1:11" x14ac:dyDescent="0.3">
      <c r="A7" s="28" t="s">
        <v>2</v>
      </c>
      <c r="B7" s="29">
        <f>B5*B6</f>
        <v>19890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7956</v>
      </c>
    </row>
    <row r="11" spans="1:11" x14ac:dyDescent="0.3">
      <c r="A11" s="1">
        <v>45502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64</v>
      </c>
      <c r="B13" s="6" t="s">
        <v>25</v>
      </c>
      <c r="C13" s="9">
        <v>1</v>
      </c>
      <c r="D13" s="16">
        <v>9</v>
      </c>
      <c r="E13" s="31">
        <f>(C13*$B$2)+D13</f>
        <v>57</v>
      </c>
      <c r="F13" s="31">
        <f>E13*$B$4*$B$6</f>
        <v>1710</v>
      </c>
      <c r="G13" s="31">
        <f>F13*$B$8</f>
        <v>684</v>
      </c>
      <c r="H13" s="10">
        <v>3</v>
      </c>
      <c r="I13" s="20">
        <v>720</v>
      </c>
      <c r="J13" s="33">
        <f>I13-G13-H13</f>
        <v>33</v>
      </c>
      <c r="K13" s="57" t="s">
        <v>19</v>
      </c>
    </row>
    <row r="14" spans="1:11" x14ac:dyDescent="0.3">
      <c r="A14" s="6" t="s">
        <v>104</v>
      </c>
      <c r="B14" s="6" t="s">
        <v>25</v>
      </c>
      <c r="C14" s="9">
        <v>12</v>
      </c>
      <c r="D14" s="16">
        <v>30</v>
      </c>
      <c r="E14" s="31">
        <f>(C14*$B$2)+D14</f>
        <v>606</v>
      </c>
      <c r="F14" s="31">
        <f t="shared" ref="F14:F17" si="0">E14*$B$4*$B$6</f>
        <v>18180</v>
      </c>
      <c r="G14" s="31">
        <f>F14*$B$8</f>
        <v>7272</v>
      </c>
      <c r="H14" s="10"/>
      <c r="I14" s="21">
        <v>7920</v>
      </c>
      <c r="J14" s="33">
        <f>I14-G14-H14</f>
        <v>648</v>
      </c>
      <c r="K14" s="57" t="s">
        <v>52</v>
      </c>
    </row>
    <row r="15" spans="1:11" x14ac:dyDescent="0.3">
      <c r="A15" s="6"/>
      <c r="B15" s="6"/>
      <c r="C15" s="9"/>
      <c r="E15" s="31">
        <f t="shared" ref="E15:E17" si="1">(C15*$B$2)+D15</f>
        <v>0</v>
      </c>
      <c r="F15" s="31">
        <v>0</v>
      </c>
      <c r="G15" s="31">
        <f t="shared" ref="G15:G16" si="2">F15*$B$8</f>
        <v>0</v>
      </c>
      <c r="H15" s="10"/>
      <c r="I15" s="21"/>
      <c r="J15" s="33">
        <f t="shared" ref="J15:J18" si="3">I15-G15-H15</f>
        <v>0</v>
      </c>
      <c r="K15" s="57"/>
    </row>
    <row r="16" spans="1:11" x14ac:dyDescent="0.3">
      <c r="A16" s="6"/>
      <c r="B16" s="6"/>
      <c r="C16" s="9"/>
      <c r="D16" s="61"/>
      <c r="E16" s="31">
        <f t="shared" si="1"/>
        <v>0</v>
      </c>
      <c r="F16" s="31">
        <f t="shared" si="0"/>
        <v>0</v>
      </c>
      <c r="G16" s="31">
        <f t="shared" si="2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1"/>
        <v>0</v>
      </c>
      <c r="F17" s="31">
        <f t="shared" si="0"/>
        <v>0</v>
      </c>
      <c r="G17" s="31">
        <f t="shared" ref="G17:G18" si="4">F17*$B$8</f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ref="E18" si="5">(C18*$B$2)+D18</f>
        <v>0</v>
      </c>
      <c r="F18" s="31">
        <f t="shared" ref="F18" si="6">E18*$B$4*$B$6</f>
        <v>0</v>
      </c>
      <c r="G18" s="31">
        <f t="shared" si="4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13</v>
      </c>
      <c r="D19" s="17">
        <f>SUM(D13:D18)</f>
        <v>39</v>
      </c>
      <c r="E19" s="32">
        <f>SUM(E13:E18)</f>
        <v>663</v>
      </c>
      <c r="F19" s="32">
        <f>SUM(F13:F18)</f>
        <v>19890</v>
      </c>
      <c r="G19" s="32">
        <f>SUM(G13:G18)</f>
        <v>7956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7956</v>
      </c>
      <c r="H23" s="27">
        <f t="shared" ref="H23:J23" si="7">SUMIF($B$13:$B$18,$F$23,H13:H18)</f>
        <v>3</v>
      </c>
      <c r="I23" s="27">
        <f t="shared" si="7"/>
        <v>8640</v>
      </c>
      <c r="J23" s="27">
        <f t="shared" si="7"/>
        <v>681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8">SUMIF($B$13:$B$18,$F$24,H13:H18)</f>
        <v>0</v>
      </c>
      <c r="I24" s="27">
        <f t="shared" si="8"/>
        <v>0</v>
      </c>
      <c r="J24" s="27">
        <f t="shared" si="8"/>
        <v>0</v>
      </c>
    </row>
    <row r="25" spans="1:11" x14ac:dyDescent="0.3">
      <c r="F25" s="8" t="s">
        <v>34</v>
      </c>
      <c r="G25" s="7">
        <f>SUM(G23:G24)</f>
        <v>7956</v>
      </c>
      <c r="H25" s="7">
        <f t="shared" ref="H25:J25" si="9">SUM(H23:H24)</f>
        <v>3</v>
      </c>
      <c r="I25" s="7">
        <f t="shared" si="9"/>
        <v>8640</v>
      </c>
      <c r="J25" s="7">
        <f t="shared" si="9"/>
        <v>681</v>
      </c>
    </row>
  </sheetData>
  <mergeCells count="1">
    <mergeCell ref="E11:G11"/>
  </mergeCells>
  <pageMargins left="0.25" right="0.25" top="0.75" bottom="0.75" header="0.3" footer="0.3"/>
  <pageSetup scale="86" fitToHeight="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0F63-D41E-4950-94C7-8B7E35D3177E}">
  <sheetPr>
    <pageSetUpPr fitToPage="1"/>
  </sheetPr>
  <dimension ref="A1:K25"/>
  <sheetViews>
    <sheetView showGridLines="0" zoomScaleNormal="100" workbookViewId="0">
      <selection activeCell="A13" sqref="A13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28">
        <f>C19+(D19/B2)</f>
        <v>2.7777777777777777</v>
      </c>
      <c r="C1" s="69">
        <v>3</v>
      </c>
      <c r="E1" s="5" t="s">
        <v>26</v>
      </c>
      <c r="F1" s="6">
        <v>100</v>
      </c>
      <c r="G1" s="6" t="s">
        <v>18</v>
      </c>
    </row>
    <row r="2" spans="1:11" x14ac:dyDescent="0.3">
      <c r="A2" s="6" t="s">
        <v>6</v>
      </c>
      <c r="B2" s="6">
        <v>36</v>
      </c>
      <c r="E2" s="5" t="s">
        <v>16</v>
      </c>
      <c r="F2" s="35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100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300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3000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1200</v>
      </c>
    </row>
    <row r="11" spans="1:11" x14ac:dyDescent="0.3">
      <c r="A11" s="1">
        <v>45469</v>
      </c>
      <c r="B11" s="12"/>
      <c r="C11" s="12"/>
      <c r="D11" s="12"/>
      <c r="E11" s="228"/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31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99</v>
      </c>
      <c r="B13" s="6" t="s">
        <v>25</v>
      </c>
      <c r="C13" s="9">
        <v>2</v>
      </c>
      <c r="D13" s="16">
        <v>28</v>
      </c>
      <c r="E13" s="31">
        <f>(C13*$B$2)+D13</f>
        <v>100</v>
      </c>
      <c r="F13" s="31">
        <f>E13*$B$4*$B$6</f>
        <v>3000</v>
      </c>
      <c r="G13" s="31">
        <f t="shared" ref="G13:G18" si="0">F13*$B$8</f>
        <v>1200</v>
      </c>
      <c r="H13" s="10">
        <v>5</v>
      </c>
      <c r="I13" s="20">
        <v>1692</v>
      </c>
      <c r="J13" s="33">
        <f>I13-G13-H13</f>
        <v>487</v>
      </c>
      <c r="K13" s="24" t="s">
        <v>52</v>
      </c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 t="shared" ref="F14:F18" si="1">E14*$B$4*$B$6</f>
        <v>0</v>
      </c>
      <c r="G14" s="31">
        <f t="shared" si="0"/>
        <v>0</v>
      </c>
      <c r="H14" s="10"/>
      <c r="I14" s="21"/>
      <c r="J14" s="33">
        <f>I14-G14-H14</f>
        <v>0</v>
      </c>
      <c r="K14" s="24"/>
    </row>
    <row r="15" spans="1:11" x14ac:dyDescent="0.3">
      <c r="A15" s="6"/>
      <c r="B15" s="6"/>
      <c r="C15" s="9"/>
      <c r="D15" s="16"/>
      <c r="E15" s="31">
        <f t="shared" ref="E15:E18" si="2">(C15*$B$2)+D15</f>
        <v>0</v>
      </c>
      <c r="F15" s="31">
        <f t="shared" si="1"/>
        <v>0</v>
      </c>
      <c r="G15" s="31">
        <f t="shared" si="0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2"/>
        <v>0</v>
      </c>
      <c r="F16" s="31">
        <f t="shared" si="1"/>
        <v>0</v>
      </c>
      <c r="G16" s="31">
        <f t="shared" si="0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1"/>
        <v>0</v>
      </c>
      <c r="G17" s="31">
        <f t="shared" si="0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2"/>
        <v>0</v>
      </c>
      <c r="F18" s="31">
        <f t="shared" si="1"/>
        <v>0</v>
      </c>
      <c r="G18" s="31">
        <f t="shared" si="0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2</v>
      </c>
      <c r="D19" s="17">
        <f>SUM(D13:D18)</f>
        <v>28</v>
      </c>
      <c r="E19" s="32">
        <f>SUM(E13:E18)</f>
        <v>100</v>
      </c>
      <c r="F19" s="32">
        <f>SUM(F13:F18)</f>
        <v>3000</v>
      </c>
      <c r="G19" s="32">
        <f>SUM(G13:G18)</f>
        <v>1200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1200</v>
      </c>
      <c r="H23" s="27">
        <f t="shared" ref="H23:J23" si="4">SUMIF($B$13:$B$18,$F$23,H13:H18)</f>
        <v>5</v>
      </c>
      <c r="I23" s="27">
        <f t="shared" si="4"/>
        <v>1692</v>
      </c>
      <c r="J23" s="27">
        <f t="shared" si="4"/>
        <v>487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1200</v>
      </c>
      <c r="H25" s="7">
        <f t="shared" ref="H25:J25" si="6">SUM(H23:H24)</f>
        <v>5</v>
      </c>
      <c r="I25" s="7">
        <f t="shared" si="6"/>
        <v>1692</v>
      </c>
      <c r="J25" s="7">
        <f t="shared" si="6"/>
        <v>487</v>
      </c>
    </row>
  </sheetData>
  <mergeCells count="1">
    <mergeCell ref="E11:G11"/>
  </mergeCells>
  <pageMargins left="0.25" right="0.25" top="0.75" bottom="0.75" header="0.3" footer="0.3"/>
  <pageSetup scale="88" fitToHeight="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38281-27D6-4AA7-89AF-3DAB765686D7}">
  <sheetPr>
    <pageSetUpPr fitToPage="1"/>
  </sheetPr>
  <dimension ref="A1:K25"/>
  <sheetViews>
    <sheetView showGridLines="0" zoomScaleNormal="100" workbookViewId="0">
      <selection activeCell="A13" sqref="A13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28" customWidth="1"/>
  </cols>
  <sheetData>
    <row r="1" spans="1:11" x14ac:dyDescent="0.3">
      <c r="A1" s="93" t="s">
        <v>3</v>
      </c>
      <c r="B1" s="114">
        <f>C19+(D19/B2)</f>
        <v>0.20833333333333334</v>
      </c>
      <c r="E1" s="5" t="s">
        <v>26</v>
      </c>
      <c r="F1" s="6">
        <v>10</v>
      </c>
      <c r="G1" s="6" t="s">
        <v>18</v>
      </c>
    </row>
    <row r="2" spans="1:11" x14ac:dyDescent="0.3">
      <c r="A2" s="96" t="s">
        <v>6</v>
      </c>
      <c r="B2" s="96">
        <v>48</v>
      </c>
      <c r="E2" s="5" t="s">
        <v>16</v>
      </c>
      <c r="F2" s="43">
        <f>F1-B5</f>
        <v>0</v>
      </c>
      <c r="G2" s="6" t="s">
        <v>18</v>
      </c>
    </row>
    <row r="3" spans="1:11" x14ac:dyDescent="0.3">
      <c r="A3" s="93" t="s">
        <v>0</v>
      </c>
      <c r="B3" s="76">
        <v>0</v>
      </c>
      <c r="C3" s="46" t="s">
        <v>36</v>
      </c>
    </row>
    <row r="4" spans="1:11" x14ac:dyDescent="0.3">
      <c r="A4" s="96" t="s">
        <v>8</v>
      </c>
      <c r="B4" s="96">
        <v>3</v>
      </c>
    </row>
    <row r="5" spans="1:11" x14ac:dyDescent="0.3">
      <c r="A5" s="28" t="s">
        <v>1</v>
      </c>
      <c r="B5" s="29">
        <f>E19</f>
        <v>10</v>
      </c>
      <c r="E5" s="48"/>
    </row>
    <row r="6" spans="1:11" x14ac:dyDescent="0.3">
      <c r="A6" s="6" t="s">
        <v>9</v>
      </c>
      <c r="B6" s="6">
        <v>10</v>
      </c>
      <c r="E6" s="49"/>
    </row>
    <row r="7" spans="1:11" x14ac:dyDescent="0.3">
      <c r="A7" s="28" t="s">
        <v>2</v>
      </c>
      <c r="B7" s="29">
        <f>B5*B6</f>
        <v>100</v>
      </c>
      <c r="E7" s="50"/>
      <c r="F7" s="47"/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40</v>
      </c>
    </row>
    <row r="11" spans="1:11" x14ac:dyDescent="0.3">
      <c r="A11" s="1">
        <v>45505</v>
      </c>
      <c r="B11" s="12"/>
      <c r="C11" s="12"/>
      <c r="D11" s="12"/>
      <c r="E11" s="228"/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31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85" t="s">
        <v>67</v>
      </c>
      <c r="B13" s="6" t="s">
        <v>25</v>
      </c>
      <c r="C13" s="9"/>
      <c r="D13" s="61">
        <v>10</v>
      </c>
      <c r="E13" s="31">
        <f>(C13*$B$2)+D13</f>
        <v>10</v>
      </c>
      <c r="F13" s="31">
        <f>E13*$B$4*$B$6</f>
        <v>300</v>
      </c>
      <c r="G13" s="31">
        <f t="shared" ref="G13:G18" si="0">F13*$B$8</f>
        <v>120</v>
      </c>
      <c r="H13" s="10">
        <v>5</v>
      </c>
      <c r="I13" s="20">
        <v>5442</v>
      </c>
      <c r="J13" s="33">
        <f>I13-G13-H13</f>
        <v>5317</v>
      </c>
      <c r="K13" s="24"/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 t="shared" ref="F14:F18" si="1">E14*$B$4*$B$6</f>
        <v>0</v>
      </c>
      <c r="G14" s="31">
        <f t="shared" si="0"/>
        <v>0</v>
      </c>
      <c r="H14" s="10"/>
      <c r="I14" s="21"/>
      <c r="J14" s="33">
        <f>I14-G14-H14</f>
        <v>0</v>
      </c>
      <c r="K14" s="24"/>
    </row>
    <row r="15" spans="1:11" x14ac:dyDescent="0.3">
      <c r="A15" s="6"/>
      <c r="B15" s="6"/>
      <c r="C15" s="9"/>
      <c r="D15" s="16"/>
      <c r="E15" s="31">
        <f t="shared" ref="E15:E18" si="2">(C15*$B$2)+D15</f>
        <v>0</v>
      </c>
      <c r="F15" s="31">
        <f t="shared" si="1"/>
        <v>0</v>
      </c>
      <c r="G15" s="31">
        <f t="shared" si="0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>(C16*$B$2)+D16</f>
        <v>0</v>
      </c>
      <c r="F16" s="31">
        <f t="shared" si="1"/>
        <v>0</v>
      </c>
      <c r="G16" s="31">
        <f t="shared" si="0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1"/>
        <v>0</v>
      </c>
      <c r="G17" s="31">
        <f t="shared" si="0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2"/>
        <v>0</v>
      </c>
      <c r="F18" s="31">
        <f t="shared" si="1"/>
        <v>0</v>
      </c>
      <c r="G18" s="31">
        <f t="shared" si="0"/>
        <v>0</v>
      </c>
      <c r="H18" s="6"/>
      <c r="I18" s="7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10</v>
      </c>
      <c r="E19" s="32">
        <f>SUM(E13:E18)</f>
        <v>10</v>
      </c>
      <c r="F19" s="32">
        <f>SUM(F13:F18)</f>
        <v>300</v>
      </c>
      <c r="G19" s="32">
        <f>SUM(G13:G18)</f>
        <v>120</v>
      </c>
      <c r="H19" s="5"/>
      <c r="I19" s="7"/>
      <c r="J19" s="32">
        <f t="shared" ref="J19" si="4">SUM(J13:J18)</f>
        <v>5317</v>
      </c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120</v>
      </c>
      <c r="H23" s="27">
        <f t="shared" ref="H23:J23" si="5">SUMIF($B$13:$B$18,$F$23,H13:H18)</f>
        <v>5</v>
      </c>
      <c r="I23" s="27">
        <f t="shared" si="5"/>
        <v>5442</v>
      </c>
      <c r="J23" s="27">
        <f t="shared" si="5"/>
        <v>5317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6">SUMIF($B$13:$B$18,$F$24,H13:H18)</f>
        <v>0</v>
      </c>
      <c r="I24" s="27">
        <f t="shared" si="6"/>
        <v>0</v>
      </c>
      <c r="J24" s="27">
        <f t="shared" si="6"/>
        <v>0</v>
      </c>
    </row>
    <row r="25" spans="1:11" x14ac:dyDescent="0.3">
      <c r="F25" s="8" t="s">
        <v>34</v>
      </c>
      <c r="G25" s="7">
        <f>SUM(G23:G24)</f>
        <v>120</v>
      </c>
      <c r="H25" s="7">
        <f t="shared" ref="H25:J25" si="7">SUM(H23:H24)</f>
        <v>5</v>
      </c>
      <c r="I25" s="7">
        <f t="shared" si="7"/>
        <v>5442</v>
      </c>
      <c r="J25" s="7">
        <f t="shared" si="7"/>
        <v>5317</v>
      </c>
    </row>
  </sheetData>
  <mergeCells count="1">
    <mergeCell ref="E11:G11"/>
  </mergeCells>
  <pageMargins left="0.25" right="0.25" top="0.75" bottom="0.75" header="0.3" footer="0.3"/>
  <pageSetup scale="96" fitToHeight="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C66FD-1143-4046-AD7C-FC132DA6D15F}">
  <sheetPr>
    <pageSetUpPr fitToPage="1"/>
  </sheetPr>
  <dimension ref="A1:K25"/>
  <sheetViews>
    <sheetView showGridLines="0" topLeftCell="A4" zoomScaleNormal="100" workbookViewId="0">
      <selection activeCell="K23" sqref="K23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52.33203125" bestFit="1" customWidth="1"/>
  </cols>
  <sheetData>
    <row r="1" spans="1:11" x14ac:dyDescent="0.3">
      <c r="A1" s="28" t="s">
        <v>3</v>
      </c>
      <c r="B1" s="28">
        <f>C19+(D19/B2)</f>
        <v>4.05</v>
      </c>
      <c r="C1" s="69">
        <v>4</v>
      </c>
      <c r="E1" s="5" t="s">
        <v>26</v>
      </c>
      <c r="F1" s="6">
        <v>83</v>
      </c>
      <c r="G1" s="6" t="s">
        <v>18</v>
      </c>
    </row>
    <row r="2" spans="1:11" x14ac:dyDescent="0.3">
      <c r="A2" s="6" t="s">
        <v>6</v>
      </c>
      <c r="B2" s="6">
        <v>20</v>
      </c>
      <c r="E2" s="5" t="s">
        <v>16</v>
      </c>
      <c r="F2" s="43">
        <f>F1-B3</f>
        <v>2</v>
      </c>
      <c r="G2" s="6" t="s">
        <v>18</v>
      </c>
    </row>
    <row r="3" spans="1:11" x14ac:dyDescent="0.3">
      <c r="A3" s="28" t="s">
        <v>0</v>
      </c>
      <c r="B3" s="29">
        <f>B1*B2</f>
        <v>81</v>
      </c>
    </row>
    <row r="4" spans="1:11" x14ac:dyDescent="0.3">
      <c r="A4" s="6" t="s">
        <v>8</v>
      </c>
      <c r="B4" s="6">
        <v>6</v>
      </c>
    </row>
    <row r="5" spans="1:11" x14ac:dyDescent="0.3">
      <c r="A5" s="28" t="s">
        <v>1</v>
      </c>
      <c r="B5" s="29">
        <f>B3*B4</f>
        <v>486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4860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1944</v>
      </c>
    </row>
    <row r="11" spans="1:11" x14ac:dyDescent="0.3">
      <c r="A11" s="1">
        <v>45926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193</v>
      </c>
      <c r="B13" s="6" t="s">
        <v>25</v>
      </c>
      <c r="C13" s="9">
        <v>4</v>
      </c>
      <c r="D13" s="16">
        <v>1</v>
      </c>
      <c r="E13" s="31">
        <f>(C13*$B$2)+D13</f>
        <v>81</v>
      </c>
      <c r="F13" s="31">
        <f>E13*$B$4*$B$6</f>
        <v>4860</v>
      </c>
      <c r="G13" s="31">
        <f t="shared" ref="G13:G18" si="0">F13*$B$8</f>
        <v>1944</v>
      </c>
      <c r="H13" s="10">
        <v>22</v>
      </c>
      <c r="I13" s="20">
        <v>1980</v>
      </c>
      <c r="J13" s="33">
        <f>I13-G13-H13</f>
        <v>14</v>
      </c>
      <c r="K13" s="24" t="s">
        <v>19</v>
      </c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 t="shared" ref="F14:F18" si="1">E14*$B$4*$B$6</f>
        <v>0</v>
      </c>
      <c r="G14" s="31">
        <f t="shared" si="0"/>
        <v>0</v>
      </c>
      <c r="H14" s="10"/>
      <c r="I14" s="21"/>
      <c r="J14" s="33"/>
      <c r="K14" s="24"/>
    </row>
    <row r="15" spans="1:11" x14ac:dyDescent="0.3">
      <c r="A15" s="6"/>
      <c r="B15" s="6"/>
      <c r="C15" s="9"/>
      <c r="D15" s="16"/>
      <c r="E15" s="31">
        <f t="shared" ref="E15:E18" si="2">(C15*$B$2)+D15</f>
        <v>0</v>
      </c>
      <c r="F15" s="31">
        <f t="shared" si="1"/>
        <v>0</v>
      </c>
      <c r="G15" s="31">
        <f t="shared" si="0"/>
        <v>0</v>
      </c>
      <c r="H15" s="10"/>
      <c r="I15" s="21"/>
      <c r="J15" s="33"/>
      <c r="K15" s="24"/>
    </row>
    <row r="16" spans="1:11" x14ac:dyDescent="0.3">
      <c r="A16" s="6"/>
      <c r="B16" s="6"/>
      <c r="C16" s="9"/>
      <c r="D16" s="16"/>
      <c r="E16" s="31">
        <f t="shared" si="2"/>
        <v>0</v>
      </c>
      <c r="F16" s="31">
        <f t="shared" si="1"/>
        <v>0</v>
      </c>
      <c r="G16" s="31">
        <f t="shared" si="0"/>
        <v>0</v>
      </c>
      <c r="H16" s="10"/>
      <c r="I16" s="21"/>
      <c r="J16" s="33"/>
      <c r="K16" s="24"/>
    </row>
    <row r="17" spans="1:11" x14ac:dyDescent="0.3">
      <c r="A17" s="6"/>
      <c r="B17" s="6"/>
      <c r="C17" s="9"/>
      <c r="D17" s="16"/>
      <c r="E17" s="31">
        <f t="shared" si="2"/>
        <v>0</v>
      </c>
      <c r="F17" s="31">
        <f t="shared" si="1"/>
        <v>0</v>
      </c>
      <c r="G17" s="31">
        <f t="shared" si="0"/>
        <v>0</v>
      </c>
      <c r="H17" s="10"/>
      <c r="I17" s="21"/>
      <c r="J17" s="33"/>
      <c r="K17" s="24"/>
    </row>
    <row r="18" spans="1:11" x14ac:dyDescent="0.3">
      <c r="A18" s="6"/>
      <c r="B18" s="6"/>
      <c r="C18" s="9"/>
      <c r="D18" s="16"/>
      <c r="E18" s="31">
        <f t="shared" si="2"/>
        <v>0</v>
      </c>
      <c r="F18" s="31">
        <f t="shared" si="1"/>
        <v>0</v>
      </c>
      <c r="G18" s="31">
        <f t="shared" si="0"/>
        <v>0</v>
      </c>
      <c r="H18" s="10"/>
      <c r="I18" s="21"/>
      <c r="J18" s="33"/>
      <c r="K18" s="24"/>
    </row>
    <row r="19" spans="1:11" x14ac:dyDescent="0.3">
      <c r="A19" s="5" t="s">
        <v>11</v>
      </c>
      <c r="B19" s="6"/>
      <c r="C19" s="7">
        <f>SUM(C13:C18)</f>
        <v>4</v>
      </c>
      <c r="D19" s="17">
        <f>SUM(D13:D18)</f>
        <v>1</v>
      </c>
      <c r="E19" s="32">
        <f>SUM(E13:E18)</f>
        <v>81</v>
      </c>
      <c r="F19" s="32">
        <f>SUM(F13:F18)</f>
        <v>4860</v>
      </c>
      <c r="G19" s="32">
        <f>SUM(G13:G18)</f>
        <v>1944</v>
      </c>
      <c r="H19" s="11"/>
      <c r="I19" s="21"/>
      <c r="J19" s="33"/>
      <c r="K19" s="24"/>
    </row>
    <row r="20" spans="1:11" x14ac:dyDescent="0.3">
      <c r="E20" s="4">
        <f>E19/F1</f>
        <v>0.97590361445783136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</row>
    <row r="23" spans="1:11" x14ac:dyDescent="0.3">
      <c r="F23" s="26" t="s">
        <v>25</v>
      </c>
      <c r="G23" s="27">
        <f>SUMIF($B$13:$B$18,$F$23,G13:G18)</f>
        <v>1944</v>
      </c>
      <c r="H23" s="27">
        <f t="shared" ref="H23" si="3">SUMIF($B$13:$B$18,$F$23,H13:H18)</f>
        <v>22</v>
      </c>
      <c r="I23" s="27">
        <f>SUMIF($B$13:$B$18,$F$23,I13:I18)</f>
        <v>1980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I24" si="4">SUMIF($B$13:$B$18,$F$24,H13:H18)</f>
        <v>0</v>
      </c>
      <c r="I24" s="27">
        <f t="shared" si="4"/>
        <v>0</v>
      </c>
    </row>
    <row r="25" spans="1:11" x14ac:dyDescent="0.3">
      <c r="F25" s="8" t="s">
        <v>34</v>
      </c>
      <c r="G25" s="7">
        <f>SUM(G23:G24)</f>
        <v>1944</v>
      </c>
      <c r="H25" s="7">
        <f t="shared" ref="H25:I25" si="5">SUM(H23:H24)</f>
        <v>22</v>
      </c>
      <c r="I25" s="7">
        <f t="shared" si="5"/>
        <v>1980</v>
      </c>
    </row>
  </sheetData>
  <mergeCells count="1">
    <mergeCell ref="E11:G11"/>
  </mergeCells>
  <pageMargins left="0.25" right="0.25" top="0.75" bottom="0.75" header="0.3" footer="0.3"/>
  <pageSetup scale="82" fitToHeight="0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6880-66D1-4602-B696-6CDCB92B5FE0}">
  <sheetPr>
    <pageSetUpPr fitToPage="1"/>
  </sheetPr>
  <dimension ref="A1:K25"/>
  <sheetViews>
    <sheetView showGridLines="0" zoomScaleNormal="100" workbookViewId="0">
      <selection activeCell="K14" sqref="K14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7" customWidth="1"/>
  </cols>
  <sheetData>
    <row r="1" spans="1:11" x14ac:dyDescent="0.3">
      <c r="A1" s="28" t="s">
        <v>3</v>
      </c>
      <c r="B1" s="28">
        <f>C19+(D19/B2)</f>
        <v>1.9666666666666668</v>
      </c>
      <c r="C1" s="69">
        <v>2</v>
      </c>
      <c r="E1" s="5" t="s">
        <v>26</v>
      </c>
      <c r="F1" s="6">
        <v>60</v>
      </c>
      <c r="G1" s="6" t="s">
        <v>18</v>
      </c>
    </row>
    <row r="2" spans="1:11" x14ac:dyDescent="0.3">
      <c r="A2" s="6" t="s">
        <v>6</v>
      </c>
      <c r="B2" s="6">
        <v>30</v>
      </c>
      <c r="E2" s="5" t="s">
        <v>16</v>
      </c>
      <c r="F2" s="43">
        <f>F1-B3</f>
        <v>1</v>
      </c>
      <c r="G2" s="6" t="s">
        <v>18</v>
      </c>
    </row>
    <row r="3" spans="1:11" x14ac:dyDescent="0.3">
      <c r="A3" s="28" t="s">
        <v>0</v>
      </c>
      <c r="B3" s="29">
        <f>B1*B2</f>
        <v>59</v>
      </c>
      <c r="C3" s="153">
        <f>+B3</f>
        <v>59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177</v>
      </c>
      <c r="C5" s="153">
        <f>+B5+1</f>
        <v>178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1770</v>
      </c>
      <c r="C7" s="153">
        <f>+F19</f>
        <v>1780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708</v>
      </c>
      <c r="C9" s="153">
        <f>+G19</f>
        <v>712</v>
      </c>
    </row>
    <row r="11" spans="1:11" x14ac:dyDescent="0.3">
      <c r="A11" s="1">
        <v>45554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65</v>
      </c>
      <c r="B13" s="6" t="s">
        <v>25</v>
      </c>
      <c r="C13" s="9">
        <v>1</v>
      </c>
      <c r="D13" s="16">
        <v>29</v>
      </c>
      <c r="E13" s="31">
        <f>(C13*$B$2)+D13</f>
        <v>59</v>
      </c>
      <c r="F13" s="31">
        <f>E13*$B$4*$B$6</f>
        <v>1770</v>
      </c>
      <c r="G13" s="31">
        <f t="shared" ref="G13:G18" si="0">F13*$B$8</f>
        <v>708</v>
      </c>
      <c r="H13" s="10">
        <v>4</v>
      </c>
      <c r="I13" s="20">
        <v>720</v>
      </c>
      <c r="J13" s="33">
        <f>I13-G13-H13</f>
        <v>8</v>
      </c>
    </row>
    <row r="14" spans="1:11" x14ac:dyDescent="0.3">
      <c r="B14" s="6"/>
      <c r="C14" s="9"/>
      <c r="D14" s="16"/>
      <c r="E14" s="31">
        <f>(C14*$B$2)+D14</f>
        <v>0</v>
      </c>
      <c r="F14" s="31">
        <v>10</v>
      </c>
      <c r="G14" s="31">
        <f t="shared" si="0"/>
        <v>4</v>
      </c>
      <c r="H14" s="10"/>
      <c r="I14" s="21"/>
      <c r="J14" s="33">
        <f>+J13-G14</f>
        <v>4</v>
      </c>
      <c r="K14" s="24" t="s">
        <v>19</v>
      </c>
    </row>
    <row r="15" spans="1:11" x14ac:dyDescent="0.3">
      <c r="A15" s="6"/>
      <c r="B15" s="6"/>
      <c r="C15" s="9"/>
      <c r="D15" s="16"/>
      <c r="E15" s="31">
        <f t="shared" ref="E15:E18" si="1">(C15*$B$2)+D15</f>
        <v>0</v>
      </c>
      <c r="F15" s="31">
        <f t="shared" ref="F15:F18" si="2">E15*$B$4*$B$6</f>
        <v>0</v>
      </c>
      <c r="G15" s="31">
        <f t="shared" si="0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1"/>
        <v>0</v>
      </c>
      <c r="F16" s="31">
        <f t="shared" si="2"/>
        <v>0</v>
      </c>
      <c r="G16" s="31">
        <f t="shared" si="0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1"/>
        <v>0</v>
      </c>
      <c r="F17" s="31">
        <f t="shared" si="2"/>
        <v>0</v>
      </c>
      <c r="G17" s="31">
        <f t="shared" si="0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1"/>
        <v>0</v>
      </c>
      <c r="F18" s="31">
        <f t="shared" si="2"/>
        <v>0</v>
      </c>
      <c r="G18" s="31">
        <f t="shared" si="0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1</v>
      </c>
      <c r="D19" s="17">
        <f>SUM(D13:D18)</f>
        <v>29</v>
      </c>
      <c r="E19" s="32">
        <f>SUM(E13:E18)</f>
        <v>59</v>
      </c>
      <c r="F19" s="32">
        <f>SUM(F13:F18)</f>
        <v>1780</v>
      </c>
      <c r="G19" s="32">
        <f>SUM(G13:G18)</f>
        <v>712</v>
      </c>
      <c r="H19" s="11"/>
      <c r="I19" s="22"/>
      <c r="J19" s="34"/>
      <c r="K19" s="25"/>
    </row>
    <row r="20" spans="1:11" x14ac:dyDescent="0.3">
      <c r="E20" s="4">
        <f>E19/F1</f>
        <v>0.98333333333333328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708</v>
      </c>
      <c r="H23" s="27">
        <f t="shared" ref="H23:I23" si="4">SUMIF($B$13:$B$18,$F$23,H13:H18)</f>
        <v>4</v>
      </c>
      <c r="I23" s="27">
        <f t="shared" si="4"/>
        <v>720</v>
      </c>
      <c r="J23" s="27">
        <f ca="1">SUMIF($B$13:$B$18,$F$23,J14:J18)</f>
        <v>4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708</v>
      </c>
      <c r="H25" s="7">
        <f t="shared" ref="H25:J25" si="6">SUM(H23:H24)</f>
        <v>4</v>
      </c>
      <c r="I25" s="7">
        <f t="shared" si="6"/>
        <v>720</v>
      </c>
      <c r="J25" s="7">
        <f t="shared" ca="1" si="6"/>
        <v>4</v>
      </c>
    </row>
  </sheetData>
  <mergeCells count="1">
    <mergeCell ref="E11:G11"/>
  </mergeCells>
  <pageMargins left="0.25" right="0.25" top="0.75" bottom="0.75" header="0.3" footer="0.3"/>
  <pageSetup scale="85" fitToHeight="0" orientation="landscape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3A1D5-943B-4E06-B7FE-31AA49454103}">
  <sheetPr>
    <pageSetUpPr fitToPage="1"/>
  </sheetPr>
  <dimension ref="A1:K56"/>
  <sheetViews>
    <sheetView showGridLines="0" zoomScaleNormal="100" workbookViewId="0">
      <selection activeCell="C10" sqref="C10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58.109375" customWidth="1"/>
  </cols>
  <sheetData>
    <row r="1" spans="1:11" x14ac:dyDescent="0.3">
      <c r="A1" s="28" t="s">
        <v>3</v>
      </c>
      <c r="B1" s="42">
        <f>C19+(D19/B2)</f>
        <v>0</v>
      </c>
      <c r="C1" s="69">
        <v>10</v>
      </c>
      <c r="E1" s="5" t="s">
        <v>26</v>
      </c>
      <c r="F1" s="6">
        <v>1568</v>
      </c>
      <c r="G1" s="6" t="s">
        <v>18</v>
      </c>
    </row>
    <row r="2" spans="1:11" x14ac:dyDescent="0.3">
      <c r="A2" s="6" t="s">
        <v>6</v>
      </c>
      <c r="B2" s="6">
        <v>165</v>
      </c>
      <c r="E2" s="5" t="s">
        <v>16</v>
      </c>
      <c r="F2" s="35">
        <f>F1-B3</f>
        <v>1568</v>
      </c>
      <c r="G2" s="6" t="s">
        <v>18</v>
      </c>
      <c r="J2" s="210" t="s">
        <v>198</v>
      </c>
    </row>
    <row r="3" spans="1:11" x14ac:dyDescent="0.3">
      <c r="A3" s="74" t="s">
        <v>0</v>
      </c>
      <c r="B3" s="75">
        <f>B1*B2</f>
        <v>0</v>
      </c>
    </row>
    <row r="4" spans="1:11" x14ac:dyDescent="0.3">
      <c r="A4" s="6" t="s">
        <v>8</v>
      </c>
      <c r="B4" s="6">
        <v>1</v>
      </c>
    </row>
    <row r="5" spans="1:11" x14ac:dyDescent="0.3">
      <c r="A5" s="28" t="s">
        <v>1</v>
      </c>
      <c r="B5" s="29">
        <f>B3*B4</f>
        <v>0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0</v>
      </c>
    </row>
    <row r="10" spans="1:11" x14ac:dyDescent="0.3">
      <c r="I10" s="45"/>
    </row>
    <row r="11" spans="1:11" x14ac:dyDescent="0.3">
      <c r="A11" s="1">
        <v>45958</v>
      </c>
      <c r="B11" s="12"/>
      <c r="C11" s="12"/>
      <c r="D11" s="12"/>
      <c r="E11" s="228" t="s">
        <v>12</v>
      </c>
      <c r="F11" s="228"/>
      <c r="G11" s="228"/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ht="14.4" customHeight="1" x14ac:dyDescent="0.3">
      <c r="A13" s="6"/>
      <c r="B13" s="6"/>
      <c r="C13" s="9"/>
      <c r="D13" s="16"/>
      <c r="E13" s="31">
        <f t="shared" ref="E13:E18" si="0">(C13*$B$2)+D13</f>
        <v>0</v>
      </c>
      <c r="F13" s="31">
        <f t="shared" ref="F13:F18" si="1">E13*$B$4*$B$6</f>
        <v>0</v>
      </c>
      <c r="G13" s="31">
        <f>F13*$B$8</f>
        <v>0</v>
      </c>
      <c r="H13" s="10"/>
      <c r="I13" s="20"/>
      <c r="J13" s="33">
        <f>I13-G13-H13</f>
        <v>0</v>
      </c>
      <c r="K13" s="24"/>
    </row>
    <row r="14" spans="1:11" x14ac:dyDescent="0.3">
      <c r="A14" s="6"/>
      <c r="B14" s="6"/>
      <c r="C14" s="9"/>
      <c r="D14" s="16"/>
      <c r="E14" s="31">
        <f>(C14*$B$2)+D14</f>
        <v>0</v>
      </c>
      <c r="F14" s="31">
        <f t="shared" si="1"/>
        <v>0</v>
      </c>
      <c r="G14" s="31">
        <f t="shared" ref="G14:G18" si="2">F14*$B$8</f>
        <v>0</v>
      </c>
      <c r="H14" s="10"/>
      <c r="I14" s="21"/>
      <c r="J14" s="33">
        <f>I14-G14-H14</f>
        <v>0</v>
      </c>
      <c r="K14" s="24"/>
    </row>
    <row r="15" spans="1:11" x14ac:dyDescent="0.3">
      <c r="B15" s="6"/>
      <c r="C15" s="9"/>
      <c r="D15" s="16"/>
      <c r="E15" s="31">
        <f t="shared" si="0"/>
        <v>0</v>
      </c>
      <c r="F15" s="31">
        <f t="shared" si="1"/>
        <v>0</v>
      </c>
      <c r="G15" s="31">
        <f t="shared" si="2"/>
        <v>0</v>
      </c>
      <c r="H15" s="10"/>
      <c r="I15" s="21"/>
      <c r="J15" s="33">
        <f t="shared" ref="J15:J17" si="3">I15-G15-H15</f>
        <v>0</v>
      </c>
      <c r="K15" s="24"/>
    </row>
    <row r="16" spans="1:11" x14ac:dyDescent="0.3"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3">
        <f t="shared" si="3"/>
        <v>0</v>
      </c>
      <c r="K16" s="24" t="s">
        <v>19</v>
      </c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3">
        <f t="shared" si="3"/>
        <v>0</v>
      </c>
      <c r="K17" s="24" t="s">
        <v>52</v>
      </c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1"/>
      <c r="J18" s="33"/>
      <c r="K18" s="24" t="s">
        <v>28</v>
      </c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0</v>
      </c>
      <c r="E19" s="32">
        <f>SUM(E13:E18)</f>
        <v>0</v>
      </c>
      <c r="F19" s="32">
        <f>SUM(F13:F18)</f>
        <v>0</v>
      </c>
      <c r="G19" s="32">
        <f>SUM(G13:G18)</f>
        <v>0</v>
      </c>
      <c r="H19" s="32">
        <f t="shared" ref="H19:I19" si="4">SUM(H13:H18)</f>
        <v>0</v>
      </c>
      <c r="I19" s="32">
        <f t="shared" si="4"/>
        <v>0</v>
      </c>
      <c r="J19" s="34"/>
      <c r="K19" s="25"/>
    </row>
    <row r="20" spans="1:11" x14ac:dyDescent="0.3">
      <c r="E20" s="4">
        <f>E19/F1</f>
        <v>0</v>
      </c>
    </row>
    <row r="21" spans="1:11" x14ac:dyDescent="0.3">
      <c r="D21" s="44"/>
      <c r="E21" s="4"/>
    </row>
    <row r="22" spans="1:11" x14ac:dyDescent="0.3">
      <c r="D22" s="44"/>
      <c r="E22" s="4"/>
      <c r="F22" s="54" t="s">
        <v>12</v>
      </c>
      <c r="G22" s="54" t="s">
        <v>4</v>
      </c>
      <c r="H22" s="55" t="s">
        <v>14</v>
      </c>
      <c r="I22" s="56" t="s">
        <v>13</v>
      </c>
      <c r="J22" s="54" t="s">
        <v>15</v>
      </c>
    </row>
    <row r="23" spans="1:11" x14ac:dyDescent="0.3">
      <c r="C23" s="44"/>
      <c r="F23" s="26" t="s">
        <v>25</v>
      </c>
      <c r="G23" s="27">
        <f>SUMIF($B$13:$B$18,$F$23,G13:G18)</f>
        <v>0</v>
      </c>
      <c r="H23" s="27">
        <f t="shared" ref="H23:I23" si="5">SUMIF($B$13:$B$18,$F$23,H13:H18)</f>
        <v>0</v>
      </c>
      <c r="I23" s="27">
        <f t="shared" si="5"/>
        <v>0</v>
      </c>
      <c r="J23" s="27">
        <f>SUMIF($B$13:$B$18,$F$23,J13:J18)</f>
        <v>0</v>
      </c>
      <c r="K23" s="209"/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I24" si="6">SUMIF($B$13:$B$18,$F$24,H13:H18)</f>
        <v>0</v>
      </c>
      <c r="I24" s="27">
        <f t="shared" si="6"/>
        <v>0</v>
      </c>
      <c r="J24" s="27">
        <f>SUMIF($B$13:$B$18,$F$24,J13:J18)</f>
        <v>0</v>
      </c>
      <c r="K24" s="209"/>
    </row>
    <row r="25" spans="1:11" x14ac:dyDescent="0.3">
      <c r="F25" s="8" t="s">
        <v>34</v>
      </c>
      <c r="G25" s="7">
        <f>SUM(G23:G24)</f>
        <v>0</v>
      </c>
      <c r="H25" s="7">
        <f t="shared" ref="H25:J25" si="7">SUM(H23:H24)</f>
        <v>0</v>
      </c>
      <c r="I25" s="7">
        <f t="shared" si="7"/>
        <v>0</v>
      </c>
      <c r="J25" s="7">
        <f t="shared" si="7"/>
        <v>0</v>
      </c>
    </row>
    <row r="29" spans="1:11" s="119" customFormat="1" x14ac:dyDescent="0.3"/>
    <row r="32" spans="1:11" x14ac:dyDescent="0.3">
      <c r="A32" s="28" t="s">
        <v>3</v>
      </c>
      <c r="B32" s="42">
        <f>C50+(D50/B33)</f>
        <v>9.5030303030303038</v>
      </c>
      <c r="C32" s="69">
        <v>10</v>
      </c>
      <c r="E32" s="5" t="s">
        <v>26</v>
      </c>
      <c r="F32" s="6">
        <v>1568</v>
      </c>
      <c r="G32" s="6" t="s">
        <v>18</v>
      </c>
      <c r="J32" s="161" t="s">
        <v>119</v>
      </c>
    </row>
    <row r="33" spans="1:11" x14ac:dyDescent="0.3">
      <c r="A33" s="6" t="s">
        <v>6</v>
      </c>
      <c r="B33" s="6">
        <v>165</v>
      </c>
      <c r="E33" s="5" t="s">
        <v>16</v>
      </c>
      <c r="F33" s="35">
        <f>F32-B34</f>
        <v>0</v>
      </c>
      <c r="G33" s="6" t="s">
        <v>18</v>
      </c>
    </row>
    <row r="34" spans="1:11" x14ac:dyDescent="0.3">
      <c r="A34" s="74" t="s">
        <v>0</v>
      </c>
      <c r="B34" s="75">
        <f>B32*B33</f>
        <v>1568.0000000000002</v>
      </c>
    </row>
    <row r="35" spans="1:11" x14ac:dyDescent="0.3">
      <c r="A35" s="6" t="s">
        <v>8</v>
      </c>
      <c r="B35" s="6">
        <v>1</v>
      </c>
    </row>
    <row r="36" spans="1:11" x14ac:dyDescent="0.3">
      <c r="A36" s="28" t="s">
        <v>1</v>
      </c>
      <c r="B36" s="29">
        <f>B34*B35</f>
        <v>1568.0000000000002</v>
      </c>
    </row>
    <row r="37" spans="1:11" x14ac:dyDescent="0.3">
      <c r="A37" s="6" t="s">
        <v>9</v>
      </c>
      <c r="B37" s="6">
        <v>10</v>
      </c>
    </row>
    <row r="38" spans="1:11" x14ac:dyDescent="0.3">
      <c r="A38" s="28" t="s">
        <v>2</v>
      </c>
      <c r="B38" s="29">
        <f>B36*B37</f>
        <v>15680.000000000002</v>
      </c>
    </row>
    <row r="39" spans="1:11" x14ac:dyDescent="0.3">
      <c r="A39" s="6" t="s">
        <v>7</v>
      </c>
      <c r="B39" s="6">
        <v>0.4</v>
      </c>
    </row>
    <row r="40" spans="1:11" x14ac:dyDescent="0.3">
      <c r="A40" s="28" t="s">
        <v>4</v>
      </c>
      <c r="B40" s="29">
        <f>B38*B39</f>
        <v>6272.0000000000009</v>
      </c>
    </row>
    <row r="41" spans="1:11" x14ac:dyDescent="0.3">
      <c r="I41" s="45"/>
    </row>
    <row r="42" spans="1:11" x14ac:dyDescent="0.3">
      <c r="A42" s="1">
        <v>45639</v>
      </c>
      <c r="B42" s="12"/>
      <c r="C42" s="12"/>
      <c r="D42" s="12"/>
      <c r="E42" s="228" t="s">
        <v>12</v>
      </c>
      <c r="F42" s="228"/>
      <c r="G42" s="228"/>
      <c r="H42" s="18" t="s">
        <v>14</v>
      </c>
      <c r="I42" s="19" t="s">
        <v>13</v>
      </c>
      <c r="J42" s="30" t="s">
        <v>15</v>
      </c>
      <c r="K42" s="18" t="s">
        <v>17</v>
      </c>
    </row>
    <row r="43" spans="1:11" x14ac:dyDescent="0.3">
      <c r="A43" s="13" t="s">
        <v>24</v>
      </c>
      <c r="B43" s="13" t="s">
        <v>20</v>
      </c>
      <c r="C43" s="13" t="s">
        <v>3</v>
      </c>
      <c r="D43" s="15" t="s">
        <v>10</v>
      </c>
      <c r="E43" s="30" t="s">
        <v>11</v>
      </c>
      <c r="F43" s="30" t="s">
        <v>5</v>
      </c>
      <c r="G43" s="30" t="s">
        <v>4</v>
      </c>
      <c r="H43" s="18" t="s">
        <v>4</v>
      </c>
      <c r="I43" s="19" t="s">
        <v>4</v>
      </c>
      <c r="J43" s="30" t="s">
        <v>4</v>
      </c>
      <c r="K43" s="23"/>
    </row>
    <row r="44" spans="1:11" x14ac:dyDescent="0.3">
      <c r="A44" s="6" t="s">
        <v>117</v>
      </c>
      <c r="B44" s="6" t="s">
        <v>25</v>
      </c>
      <c r="C44" s="9">
        <v>5</v>
      </c>
      <c r="D44" s="16">
        <v>100</v>
      </c>
      <c r="E44" s="31">
        <f t="shared" ref="E44:E49" si="8">(C44*$B$2)+D44</f>
        <v>925</v>
      </c>
      <c r="F44" s="31">
        <f t="shared" ref="F44:F49" si="9">E44*$B$4*$B$6</f>
        <v>9250</v>
      </c>
      <c r="G44" s="31">
        <f>F44*$B$8</f>
        <v>3700</v>
      </c>
      <c r="H44" s="10"/>
      <c r="I44" s="20">
        <v>3768</v>
      </c>
      <c r="J44" s="33">
        <f>I44-G44-H44</f>
        <v>68</v>
      </c>
      <c r="K44" s="57" t="s">
        <v>19</v>
      </c>
    </row>
    <row r="45" spans="1:11" x14ac:dyDescent="0.3">
      <c r="A45" s="6" t="s">
        <v>120</v>
      </c>
      <c r="B45" s="6" t="s">
        <v>25</v>
      </c>
      <c r="C45" s="9">
        <v>3</v>
      </c>
      <c r="D45" s="16">
        <v>148</v>
      </c>
      <c r="E45" s="31">
        <f t="shared" si="8"/>
        <v>643</v>
      </c>
      <c r="F45" s="31">
        <f t="shared" si="9"/>
        <v>6430</v>
      </c>
      <c r="G45" s="31">
        <f t="shared" ref="G45:G49" si="10">F45*$B$8</f>
        <v>2572</v>
      </c>
      <c r="H45" s="10"/>
      <c r="I45" s="21">
        <v>5940</v>
      </c>
      <c r="J45" s="33">
        <f>I45-G45-H45</f>
        <v>3368</v>
      </c>
      <c r="K45" s="57" t="s">
        <v>52</v>
      </c>
    </row>
    <row r="46" spans="1:11" x14ac:dyDescent="0.3">
      <c r="A46" s="6"/>
      <c r="B46" s="6"/>
      <c r="C46" s="9"/>
      <c r="D46" s="16"/>
      <c r="E46" s="31">
        <f t="shared" si="8"/>
        <v>0</v>
      </c>
      <c r="F46" s="31">
        <f t="shared" si="9"/>
        <v>0</v>
      </c>
      <c r="G46" s="31">
        <f t="shared" si="10"/>
        <v>0</v>
      </c>
      <c r="H46" s="10"/>
      <c r="I46" s="21"/>
      <c r="J46" s="33"/>
      <c r="K46" s="24"/>
    </row>
    <row r="47" spans="1:11" x14ac:dyDescent="0.3">
      <c r="A47" s="6"/>
      <c r="B47" s="6"/>
      <c r="C47" s="9"/>
      <c r="D47" s="16"/>
      <c r="E47" s="31">
        <f t="shared" si="8"/>
        <v>0</v>
      </c>
      <c r="F47" s="31">
        <f t="shared" si="9"/>
        <v>0</v>
      </c>
      <c r="G47" s="31">
        <f t="shared" si="10"/>
        <v>0</v>
      </c>
      <c r="H47" s="10"/>
      <c r="I47" s="21"/>
      <c r="J47" s="33"/>
      <c r="K47" s="24"/>
    </row>
    <row r="48" spans="1:11" x14ac:dyDescent="0.3">
      <c r="A48" s="6"/>
      <c r="B48" s="6"/>
      <c r="C48" s="9"/>
      <c r="D48" s="16"/>
      <c r="E48" s="31">
        <f t="shared" si="8"/>
        <v>0</v>
      </c>
      <c r="F48" s="31">
        <f t="shared" si="9"/>
        <v>0</v>
      </c>
      <c r="G48" s="31">
        <f t="shared" si="10"/>
        <v>0</v>
      </c>
      <c r="H48" s="10"/>
      <c r="I48" s="21"/>
      <c r="J48" s="33"/>
      <c r="K48" s="24"/>
    </row>
    <row r="49" spans="1:11" x14ac:dyDescent="0.3">
      <c r="A49" s="6"/>
      <c r="B49" s="6"/>
      <c r="C49" s="9"/>
      <c r="D49" s="16"/>
      <c r="E49" s="31">
        <f t="shared" si="8"/>
        <v>0</v>
      </c>
      <c r="F49" s="31">
        <f t="shared" si="9"/>
        <v>0</v>
      </c>
      <c r="G49" s="31">
        <f t="shared" si="10"/>
        <v>0</v>
      </c>
      <c r="H49" s="10"/>
      <c r="I49" s="21"/>
      <c r="J49" s="33"/>
      <c r="K49" s="24"/>
    </row>
    <row r="50" spans="1:11" x14ac:dyDescent="0.3">
      <c r="A50" s="5" t="s">
        <v>11</v>
      </c>
      <c r="B50" s="6"/>
      <c r="C50" s="7">
        <f>SUM(C44:C49)</f>
        <v>8</v>
      </c>
      <c r="D50" s="17">
        <f>SUM(D44:D49)</f>
        <v>248</v>
      </c>
      <c r="E50" s="32">
        <f>SUM(E44:E49)</f>
        <v>1568</v>
      </c>
      <c r="F50" s="32">
        <f>SUM(F44:F49)</f>
        <v>15680</v>
      </c>
      <c r="G50" s="32">
        <f>SUM(G44:G49)</f>
        <v>6272</v>
      </c>
      <c r="H50" s="32">
        <f t="shared" ref="H50:I50" si="11">SUM(H44:H49)</f>
        <v>0</v>
      </c>
      <c r="I50" s="32">
        <f t="shared" si="11"/>
        <v>9708</v>
      </c>
      <c r="J50" s="34"/>
      <c r="K50" s="25"/>
    </row>
    <row r="51" spans="1:11" x14ac:dyDescent="0.3">
      <c r="E51" s="4">
        <f>E50/F32</f>
        <v>1</v>
      </c>
    </row>
    <row r="52" spans="1:11" x14ac:dyDescent="0.3">
      <c r="C52" s="44"/>
      <c r="D52" s="44"/>
      <c r="E52" s="4"/>
    </row>
    <row r="53" spans="1:11" x14ac:dyDescent="0.3">
      <c r="D53" s="44"/>
      <c r="E53" s="4"/>
      <c r="F53" s="54" t="s">
        <v>12</v>
      </c>
      <c r="G53" s="54" t="s">
        <v>4</v>
      </c>
      <c r="H53" s="55" t="s">
        <v>14</v>
      </c>
      <c r="I53" s="56" t="s">
        <v>13</v>
      </c>
      <c r="J53" s="54" t="s">
        <v>15</v>
      </c>
    </row>
    <row r="54" spans="1:11" x14ac:dyDescent="0.3">
      <c r="F54" s="26" t="s">
        <v>27</v>
      </c>
      <c r="G54" s="27">
        <f>SUMIF($B$44:$B$49,$F$54,G44:G49)</f>
        <v>0</v>
      </c>
      <c r="H54" s="27">
        <f>SUMIF($B$44:$B$49,$F$54,H44:H49)</f>
        <v>0</v>
      </c>
      <c r="I54" s="27">
        <f>SUMIF($B$44:$B$49,$F$54,I44:I49)</f>
        <v>0</v>
      </c>
      <c r="J54" s="27">
        <f>SUMIF($B$44:$B$49,$F$54,J44:J49)</f>
        <v>0</v>
      </c>
    </row>
    <row r="55" spans="1:11" x14ac:dyDescent="0.3">
      <c r="F55" s="14" t="s">
        <v>25</v>
      </c>
      <c r="G55" s="27">
        <f>SUMIF($B$44:$B$49,$F$55,G44:G49)</f>
        <v>6272</v>
      </c>
      <c r="H55" s="27">
        <f>SUMIF($B$44:$B$49,$F$55,H44:H49)</f>
        <v>0</v>
      </c>
      <c r="I55" s="27">
        <f>SUMIF($B$44:$B$49,$F$55,I44:I49)</f>
        <v>9708</v>
      </c>
      <c r="J55" s="27">
        <f>SUMIF($B$44:$B$49,$F$55,J44:J49)</f>
        <v>3436</v>
      </c>
    </row>
    <row r="56" spans="1:11" x14ac:dyDescent="0.3">
      <c r="F56" s="8" t="s">
        <v>34</v>
      </c>
      <c r="G56" s="7">
        <f>SUM(G54:G55)</f>
        <v>6272</v>
      </c>
      <c r="H56" s="7">
        <f t="shared" ref="H56:J56" si="12">SUM(H54:H55)</f>
        <v>0</v>
      </c>
      <c r="I56" s="7">
        <f t="shared" si="12"/>
        <v>9708</v>
      </c>
      <c r="J56" s="7">
        <f t="shared" si="12"/>
        <v>3436</v>
      </c>
    </row>
  </sheetData>
  <mergeCells count="2">
    <mergeCell ref="E11:G11"/>
    <mergeCell ref="E42:G42"/>
  </mergeCells>
  <pageMargins left="0.7" right="0.7" top="0.75" bottom="0.75" header="0.3" footer="0.3"/>
  <pageSetup scale="62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58E4-34A9-47FC-8515-072A50C34EB5}">
  <sheetPr>
    <pageSetUpPr fitToPage="1"/>
  </sheetPr>
  <dimension ref="A1:K25"/>
  <sheetViews>
    <sheetView showGridLines="0" zoomScaleNormal="100" workbookViewId="0">
      <selection activeCell="E24" sqref="E24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51" bestFit="1" customWidth="1"/>
  </cols>
  <sheetData>
    <row r="1" spans="1:11" x14ac:dyDescent="0.3">
      <c r="A1" s="28" t="s">
        <v>3</v>
      </c>
      <c r="B1" s="121">
        <f>C19+(D19/B2)</f>
        <v>1.1212121212121211</v>
      </c>
      <c r="C1" s="119">
        <v>1</v>
      </c>
      <c r="E1" s="5" t="s">
        <v>26</v>
      </c>
      <c r="F1" s="6">
        <v>679</v>
      </c>
      <c r="G1" s="6" t="s">
        <v>18</v>
      </c>
    </row>
    <row r="2" spans="1:11" x14ac:dyDescent="0.3">
      <c r="A2" s="6" t="s">
        <v>6</v>
      </c>
      <c r="B2" s="6">
        <v>165</v>
      </c>
      <c r="E2" s="5" t="s">
        <v>16</v>
      </c>
      <c r="F2" s="35">
        <f>F1-B3</f>
        <v>494</v>
      </c>
      <c r="G2" s="6" t="s">
        <v>18</v>
      </c>
    </row>
    <row r="3" spans="1:11" x14ac:dyDescent="0.3">
      <c r="A3" s="79" t="s">
        <v>0</v>
      </c>
      <c r="B3" s="76">
        <f>B1*B2</f>
        <v>184.99999999999997</v>
      </c>
      <c r="F3">
        <f>+F2/165</f>
        <v>2.9939393939393941</v>
      </c>
    </row>
    <row r="4" spans="1:11" x14ac:dyDescent="0.3">
      <c r="A4" s="6" t="s">
        <v>8</v>
      </c>
      <c r="B4" s="6">
        <v>1</v>
      </c>
    </row>
    <row r="5" spans="1:11" x14ac:dyDescent="0.3">
      <c r="A5" s="28" t="s">
        <v>1</v>
      </c>
      <c r="B5" s="29">
        <f>B3*B4</f>
        <v>184.99999999999997</v>
      </c>
      <c r="F5">
        <f>2*165</f>
        <v>330</v>
      </c>
    </row>
    <row r="6" spans="1:11" x14ac:dyDescent="0.3">
      <c r="A6" s="6" t="s">
        <v>9</v>
      </c>
      <c r="B6" s="6">
        <v>10</v>
      </c>
      <c r="F6">
        <f>+F5-F2</f>
        <v>-164</v>
      </c>
    </row>
    <row r="7" spans="1:11" x14ac:dyDescent="0.3">
      <c r="A7" s="28" t="s">
        <v>2</v>
      </c>
      <c r="B7" s="29">
        <f>B5*B6</f>
        <v>1849.9999999999998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740</v>
      </c>
    </row>
    <row r="11" spans="1:11" x14ac:dyDescent="0.3">
      <c r="A11" s="1">
        <v>45370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x14ac:dyDescent="0.3">
      <c r="A13" s="6" t="s">
        <v>63</v>
      </c>
      <c r="B13" s="6" t="s">
        <v>27</v>
      </c>
      <c r="C13" s="9">
        <v>1</v>
      </c>
      <c r="D13" s="16">
        <v>20</v>
      </c>
      <c r="E13" s="31">
        <f t="shared" ref="E13:E18" si="0">(C13*$B$2)+D13</f>
        <v>185</v>
      </c>
      <c r="F13" s="31">
        <f t="shared" ref="F13:F18" si="1">E13*$B$4*$B$6</f>
        <v>1850</v>
      </c>
      <c r="G13" s="31">
        <f t="shared" ref="G13:G18" si="2">F13*$B$8</f>
        <v>740</v>
      </c>
      <c r="H13" s="10">
        <v>10</v>
      </c>
      <c r="I13" s="20">
        <v>1250</v>
      </c>
      <c r="J13" s="33">
        <f>I13-G13-H13</f>
        <v>500</v>
      </c>
      <c r="K13" s="57" t="s">
        <v>35</v>
      </c>
    </row>
    <row r="14" spans="1:11" x14ac:dyDescent="0.3">
      <c r="A14" s="6"/>
      <c r="B14" s="6"/>
      <c r="C14" s="9"/>
      <c r="D14" s="16"/>
      <c r="E14" s="31">
        <f t="shared" si="0"/>
        <v>0</v>
      </c>
      <c r="F14" s="31">
        <f t="shared" si="1"/>
        <v>0</v>
      </c>
      <c r="G14" s="31">
        <f t="shared" si="2"/>
        <v>0</v>
      </c>
      <c r="H14" s="10"/>
      <c r="I14" s="21"/>
      <c r="J14" s="33">
        <f>I14-G14-H14</f>
        <v>0</v>
      </c>
      <c r="K14" s="57"/>
    </row>
    <row r="15" spans="1:11" x14ac:dyDescent="0.3">
      <c r="A15" s="6"/>
      <c r="B15" s="6"/>
      <c r="C15" s="9"/>
      <c r="D15" s="16"/>
      <c r="E15" s="31">
        <f t="shared" si="0"/>
        <v>0</v>
      </c>
      <c r="F15" s="31">
        <f t="shared" si="1"/>
        <v>0</v>
      </c>
      <c r="G15" s="31">
        <f t="shared" si="2"/>
        <v>0</v>
      </c>
      <c r="H15" s="10"/>
      <c r="I15" s="21"/>
      <c r="J15" s="33">
        <f t="shared" ref="J15:J18" si="3">I15-G15-H15</f>
        <v>0</v>
      </c>
      <c r="K15" s="57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1</v>
      </c>
      <c r="D19" s="17">
        <f>SUM(D13:D18)</f>
        <v>20</v>
      </c>
      <c r="E19" s="32">
        <f>SUM(E13:E18)</f>
        <v>185</v>
      </c>
      <c r="F19" s="32">
        <f>SUM(F13:F18)</f>
        <v>1850</v>
      </c>
      <c r="G19" s="32">
        <f>SUM(G13:G18)</f>
        <v>740</v>
      </c>
      <c r="H19" s="32">
        <f t="shared" ref="H19:I19" si="4">SUM(H13:H18)</f>
        <v>10</v>
      </c>
      <c r="I19" s="32">
        <f t="shared" si="4"/>
        <v>1250</v>
      </c>
      <c r="J19" s="34"/>
      <c r="K19" s="25"/>
    </row>
    <row r="20" spans="1:11" x14ac:dyDescent="0.3">
      <c r="E20" s="4">
        <f>E19/F1</f>
        <v>0.27245949926362295</v>
      </c>
    </row>
    <row r="21" spans="1:11" x14ac:dyDescent="0.3">
      <c r="E21" s="4"/>
    </row>
    <row r="22" spans="1:11" x14ac:dyDescent="0.3">
      <c r="E22" s="4"/>
      <c r="F22" s="54" t="s">
        <v>12</v>
      </c>
      <c r="G22" s="54" t="s">
        <v>4</v>
      </c>
      <c r="H22" s="55" t="s">
        <v>14</v>
      </c>
      <c r="I22" s="56" t="s">
        <v>13</v>
      </c>
      <c r="J22" s="54" t="s">
        <v>15</v>
      </c>
    </row>
    <row r="23" spans="1:11" x14ac:dyDescent="0.3">
      <c r="F23" s="26" t="s">
        <v>25</v>
      </c>
      <c r="G23" s="27">
        <f>SUMIF($B$13:$B$18,$F$23,G13:G18)</f>
        <v>0</v>
      </c>
      <c r="H23" s="27">
        <f>SUMIF($B$13:$B$18,$F$23,H13:H18)</f>
        <v>0</v>
      </c>
      <c r="I23" s="27">
        <f>SUMIF($B$13:$B$18,$F$23,I13:I18)</f>
        <v>0</v>
      </c>
      <c r="J23" s="27">
        <f>SUMIF($B$13:$B$18,$F$23,J13:J18)</f>
        <v>0</v>
      </c>
    </row>
    <row r="24" spans="1:11" x14ac:dyDescent="0.3">
      <c r="F24" s="14" t="s">
        <v>27</v>
      </c>
      <c r="G24" s="27">
        <f>SUMIF($B$13:$B$18,$F$24,G13:G18)</f>
        <v>740</v>
      </c>
      <c r="H24" s="27">
        <f>SUMIF($B$13:$B$18,$F$24,H13:H18)</f>
        <v>10</v>
      </c>
      <c r="I24" s="27">
        <f>SUMIF($B$13:$B$18,$F$24,I13:I18)</f>
        <v>1250</v>
      </c>
      <c r="J24" s="27">
        <f>SUMIF($B$13:$B$18,$F$24,J13:J18)</f>
        <v>500</v>
      </c>
    </row>
    <row r="25" spans="1:11" x14ac:dyDescent="0.3">
      <c r="F25" s="8" t="s">
        <v>34</v>
      </c>
      <c r="G25" s="7">
        <f>SUM(G23:G24)</f>
        <v>740</v>
      </c>
      <c r="H25" s="7">
        <f t="shared" ref="H25:J25" si="5">SUM(H23:H24)</f>
        <v>10</v>
      </c>
      <c r="I25" s="7">
        <f t="shared" si="5"/>
        <v>1250</v>
      </c>
      <c r="J25" s="7">
        <f t="shared" si="5"/>
        <v>500</v>
      </c>
    </row>
  </sheetData>
  <mergeCells count="1">
    <mergeCell ref="E11:G11"/>
  </mergeCells>
  <phoneticPr fontId="15" type="noConversion"/>
  <pageMargins left="0.7" right="0.7" top="0.75" bottom="0.75" header="0.3" footer="0.3"/>
  <pageSetup scale="73" orientation="landscape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B6737-E4F7-4587-AD7B-82C4F4679646}">
  <sheetPr>
    <pageSetUpPr fitToPage="1"/>
  </sheetPr>
  <dimension ref="A1:K25"/>
  <sheetViews>
    <sheetView showGridLines="0" zoomScaleNormal="100" workbookViewId="0">
      <selection activeCell="K6" sqref="K6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63.109375" bestFit="1" customWidth="1"/>
  </cols>
  <sheetData>
    <row r="1" spans="1:11" x14ac:dyDescent="0.3">
      <c r="A1" s="28" t="s">
        <v>3</v>
      </c>
      <c r="B1" s="113">
        <f>C19+(D19/B2)</f>
        <v>8.4</v>
      </c>
      <c r="C1" s="123">
        <v>9</v>
      </c>
      <c r="E1" s="5" t="s">
        <v>26</v>
      </c>
      <c r="F1" s="6">
        <v>168</v>
      </c>
      <c r="G1" s="6" t="s">
        <v>18</v>
      </c>
      <c r="I1" s="41"/>
    </row>
    <row r="2" spans="1:11" x14ac:dyDescent="0.3">
      <c r="A2" s="6" t="s">
        <v>6</v>
      </c>
      <c r="B2" s="6">
        <v>20</v>
      </c>
      <c r="C2" s="41"/>
      <c r="E2" s="5" t="s">
        <v>16</v>
      </c>
      <c r="F2" s="35">
        <f>F1-B3</f>
        <v>0</v>
      </c>
      <c r="G2" s="6" t="s">
        <v>18</v>
      </c>
      <c r="I2" s="41"/>
      <c r="J2" s="41"/>
      <c r="K2" s="41"/>
    </row>
    <row r="3" spans="1:11" x14ac:dyDescent="0.3">
      <c r="A3" s="28" t="s">
        <v>0</v>
      </c>
      <c r="B3" s="29">
        <f>B1*B2</f>
        <v>168</v>
      </c>
      <c r="I3" s="41"/>
      <c r="J3" s="41"/>
      <c r="K3" s="41"/>
    </row>
    <row r="4" spans="1:11" x14ac:dyDescent="0.3">
      <c r="A4" s="6" t="s">
        <v>8</v>
      </c>
      <c r="B4" s="6">
        <v>5</v>
      </c>
      <c r="I4" s="41"/>
      <c r="J4" s="41"/>
      <c r="K4" s="41"/>
    </row>
    <row r="5" spans="1:11" x14ac:dyDescent="0.3">
      <c r="A5" s="28" t="s">
        <v>1</v>
      </c>
      <c r="B5" s="29">
        <f>B3*B4</f>
        <v>840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8400</v>
      </c>
    </row>
    <row r="8" spans="1:11" x14ac:dyDescent="0.3">
      <c r="A8" s="6" t="s">
        <v>7</v>
      </c>
      <c r="B8" s="6">
        <v>0.4</v>
      </c>
      <c r="K8" s="77"/>
    </row>
    <row r="9" spans="1:11" x14ac:dyDescent="0.3">
      <c r="A9" s="28" t="s">
        <v>4</v>
      </c>
      <c r="B9" s="29">
        <f>B7*B8</f>
        <v>3360</v>
      </c>
      <c r="J9" s="77"/>
    </row>
    <row r="10" spans="1:11" x14ac:dyDescent="0.3">
      <c r="J10" s="77"/>
    </row>
    <row r="11" spans="1:11" x14ac:dyDescent="0.3">
      <c r="A11" s="1">
        <v>45638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237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31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8"/>
    </row>
    <row r="13" spans="1:11" s="48" customFormat="1" x14ac:dyDescent="0.3">
      <c r="A13" s="63" t="s">
        <v>118</v>
      </c>
      <c r="B13" s="63" t="s">
        <v>25</v>
      </c>
      <c r="C13" s="64">
        <v>8</v>
      </c>
      <c r="D13" s="65">
        <v>8</v>
      </c>
      <c r="E13" s="66">
        <f>(C13*$B$2)+D13</f>
        <v>168</v>
      </c>
      <c r="F13" s="66">
        <f>E13*$B$4*$B$6</f>
        <v>8400</v>
      </c>
      <c r="G13" s="66">
        <f t="shared" ref="G13:G18" si="0">F13*$B$8</f>
        <v>3360</v>
      </c>
      <c r="H13" s="67">
        <v>35</v>
      </c>
      <c r="I13" s="68">
        <v>3600</v>
      </c>
      <c r="J13" s="33">
        <f t="shared" ref="J13" si="1">I13-G13-H13</f>
        <v>205</v>
      </c>
      <c r="K13" s="24" t="s">
        <v>52</v>
      </c>
    </row>
    <row r="14" spans="1:11" x14ac:dyDescent="0.3">
      <c r="A14" s="63"/>
      <c r="B14" s="63"/>
      <c r="C14" s="9"/>
      <c r="D14" s="16"/>
      <c r="E14" s="31">
        <f>(C14*$B$2)+D14</f>
        <v>0</v>
      </c>
      <c r="F14" s="31">
        <f t="shared" ref="F14:F18" si="2">E14*$B$4*$B$6</f>
        <v>0</v>
      </c>
      <c r="G14" s="31">
        <f t="shared" si="0"/>
        <v>0</v>
      </c>
      <c r="H14" s="10"/>
      <c r="I14" s="68"/>
      <c r="J14" s="33">
        <f>+J13-106</f>
        <v>99</v>
      </c>
      <c r="K14" s="24" t="s">
        <v>19</v>
      </c>
    </row>
    <row r="15" spans="1:11" x14ac:dyDescent="0.3">
      <c r="A15" s="63"/>
      <c r="B15" s="63"/>
      <c r="C15" s="9"/>
      <c r="D15" s="16"/>
      <c r="E15" s="31">
        <f t="shared" ref="E15:E18" si="3">(C15*$B$2)+D15</f>
        <v>0</v>
      </c>
      <c r="F15" s="31">
        <f t="shared" si="2"/>
        <v>0</v>
      </c>
      <c r="G15" s="31">
        <f t="shared" si="0"/>
        <v>0</v>
      </c>
      <c r="H15" s="10"/>
      <c r="I15" s="21"/>
      <c r="J15" s="33">
        <f>+J13-J14</f>
        <v>106</v>
      </c>
      <c r="K15" s="24" t="s">
        <v>102</v>
      </c>
    </row>
    <row r="16" spans="1:11" x14ac:dyDescent="0.3">
      <c r="A16" s="6"/>
      <c r="B16" s="6"/>
      <c r="C16" s="9"/>
      <c r="D16" s="16"/>
      <c r="E16" s="31">
        <f t="shared" si="3"/>
        <v>0</v>
      </c>
      <c r="F16" s="31">
        <f t="shared" si="2"/>
        <v>0</v>
      </c>
      <c r="G16" s="31">
        <f t="shared" si="0"/>
        <v>0</v>
      </c>
      <c r="H16" s="10"/>
      <c r="I16" s="21"/>
      <c r="J16" s="33"/>
      <c r="K16" s="24"/>
    </row>
    <row r="17" spans="1:11" x14ac:dyDescent="0.3">
      <c r="A17" s="6"/>
      <c r="B17" s="6"/>
      <c r="C17" s="9"/>
      <c r="D17" s="16"/>
      <c r="E17" s="31">
        <f t="shared" si="3"/>
        <v>0</v>
      </c>
      <c r="F17" s="31">
        <f t="shared" si="2"/>
        <v>0</v>
      </c>
      <c r="G17" s="31">
        <f t="shared" si="0"/>
        <v>0</v>
      </c>
      <c r="H17" s="10"/>
      <c r="I17" s="21"/>
      <c r="J17" s="33"/>
      <c r="K17" s="24"/>
    </row>
    <row r="18" spans="1:11" x14ac:dyDescent="0.3">
      <c r="A18" s="6"/>
      <c r="B18" s="6"/>
      <c r="C18" s="9"/>
      <c r="D18" s="16"/>
      <c r="E18" s="31">
        <f t="shared" si="3"/>
        <v>0</v>
      </c>
      <c r="F18" s="31">
        <f t="shared" si="2"/>
        <v>0</v>
      </c>
      <c r="G18" s="31">
        <f t="shared" si="0"/>
        <v>0</v>
      </c>
      <c r="H18" s="10"/>
      <c r="I18" s="21"/>
      <c r="J18" s="33"/>
      <c r="K18" s="24"/>
    </row>
    <row r="19" spans="1:11" x14ac:dyDescent="0.3">
      <c r="A19" s="5" t="s">
        <v>11</v>
      </c>
      <c r="B19" s="6"/>
      <c r="C19" s="7">
        <f>SUM(C13:C18)</f>
        <v>8</v>
      </c>
      <c r="D19" s="17">
        <f>SUM(D13:D18)</f>
        <v>8</v>
      </c>
      <c r="E19" s="32">
        <f>SUM(E13:E18)</f>
        <v>168</v>
      </c>
      <c r="F19" s="32">
        <f>SUM(F13:F18)</f>
        <v>8400</v>
      </c>
      <c r="G19" s="32">
        <f>SUM(G13:G18)</f>
        <v>3360</v>
      </c>
      <c r="H19" s="32">
        <f t="shared" ref="H19:I19" si="4">SUM(H13:H18)</f>
        <v>35</v>
      </c>
      <c r="I19" s="32">
        <f t="shared" si="4"/>
        <v>3600</v>
      </c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3360</v>
      </c>
      <c r="H23" s="27">
        <f t="shared" ref="H23:J23" si="5">SUMIF($B$13:$B$18,$F$23,H13:H18)</f>
        <v>35</v>
      </c>
      <c r="I23" s="27">
        <f t="shared" si="5"/>
        <v>3600</v>
      </c>
      <c r="J23" s="27">
        <f t="shared" si="5"/>
        <v>205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I24" si="6">SUMIF($B$13:$B$18,$F$24,H13:H18)</f>
        <v>0</v>
      </c>
      <c r="I24" s="27">
        <f t="shared" si="6"/>
        <v>0</v>
      </c>
      <c r="J24" s="27">
        <f>+J16</f>
        <v>0</v>
      </c>
    </row>
    <row r="25" spans="1:11" x14ac:dyDescent="0.3">
      <c r="F25" s="8" t="s">
        <v>34</v>
      </c>
      <c r="G25" s="7">
        <f>SUM(G23:G24)</f>
        <v>3360</v>
      </c>
      <c r="H25" s="7">
        <f t="shared" ref="H25:J25" si="7">SUM(H23:H24)</f>
        <v>35</v>
      </c>
      <c r="I25" s="7">
        <f t="shared" si="7"/>
        <v>3600</v>
      </c>
      <c r="J25" s="7">
        <f t="shared" si="7"/>
        <v>205</v>
      </c>
    </row>
  </sheetData>
  <mergeCells count="2">
    <mergeCell ref="E11:G11"/>
    <mergeCell ref="K11:K12"/>
  </mergeCells>
  <pageMargins left="0.25" right="0.25" top="0.75" bottom="0.75" header="0.3" footer="0.3"/>
  <pageSetup scale="77" fitToHeight="0" orientation="landscape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76CAD-8EC5-4D56-BC25-20BAD0315926}">
  <sheetPr>
    <pageSetUpPr fitToPage="1"/>
  </sheetPr>
  <dimension ref="A1:K25"/>
  <sheetViews>
    <sheetView showGridLines="0" zoomScaleNormal="100" workbookViewId="0">
      <selection activeCell="A11" sqref="A11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63.109375" bestFit="1" customWidth="1"/>
  </cols>
  <sheetData>
    <row r="1" spans="1:11" x14ac:dyDescent="0.3">
      <c r="A1" s="28" t="s">
        <v>3</v>
      </c>
      <c r="B1" s="113">
        <f>C19+(D19/B2)</f>
        <v>8.4</v>
      </c>
      <c r="C1" s="123">
        <v>9</v>
      </c>
      <c r="E1" s="5" t="s">
        <v>26</v>
      </c>
      <c r="F1" s="6">
        <v>168</v>
      </c>
      <c r="G1" s="6" t="s">
        <v>18</v>
      </c>
      <c r="I1" s="41"/>
    </row>
    <row r="2" spans="1:11" x14ac:dyDescent="0.3">
      <c r="A2" s="6" t="s">
        <v>6</v>
      </c>
      <c r="B2" s="6">
        <v>20</v>
      </c>
      <c r="C2" s="41"/>
      <c r="E2" s="5" t="s">
        <v>16</v>
      </c>
      <c r="F2" s="35">
        <f>F1-B3</f>
        <v>0</v>
      </c>
      <c r="G2" s="6" t="s">
        <v>18</v>
      </c>
      <c r="I2" s="41"/>
      <c r="J2" s="41"/>
      <c r="K2" s="41"/>
    </row>
    <row r="3" spans="1:11" x14ac:dyDescent="0.3">
      <c r="A3" s="28" t="s">
        <v>0</v>
      </c>
      <c r="B3" s="29">
        <f>B1*B2</f>
        <v>168</v>
      </c>
      <c r="I3" s="41"/>
      <c r="J3" s="41"/>
      <c r="K3" s="41"/>
    </row>
    <row r="4" spans="1:11" x14ac:dyDescent="0.3">
      <c r="A4" s="6" t="s">
        <v>8</v>
      </c>
      <c r="B4" s="6">
        <v>5</v>
      </c>
      <c r="I4" s="41"/>
      <c r="J4" s="41"/>
      <c r="K4" s="41"/>
    </row>
    <row r="5" spans="1:11" x14ac:dyDescent="0.3">
      <c r="A5" s="28" t="s">
        <v>1</v>
      </c>
      <c r="B5" s="29">
        <f>B3*B4</f>
        <v>840</v>
      </c>
    </row>
    <row r="6" spans="1:11" x14ac:dyDescent="0.3">
      <c r="A6" s="6" t="s">
        <v>9</v>
      </c>
      <c r="B6" s="6">
        <v>10</v>
      </c>
      <c r="K6">
        <f>4*20</f>
        <v>80</v>
      </c>
    </row>
    <row r="7" spans="1:11" x14ac:dyDescent="0.3">
      <c r="A7" s="28" t="s">
        <v>2</v>
      </c>
      <c r="B7" s="29">
        <f>B5*B6</f>
        <v>8400</v>
      </c>
    </row>
    <row r="8" spans="1:11" x14ac:dyDescent="0.3">
      <c r="A8" s="6" t="s">
        <v>7</v>
      </c>
      <c r="B8" s="6">
        <v>0.4</v>
      </c>
      <c r="K8" s="77"/>
    </row>
    <row r="9" spans="1:11" x14ac:dyDescent="0.3">
      <c r="A9" s="28" t="s">
        <v>4</v>
      </c>
      <c r="B9" s="29">
        <f>B7*B8</f>
        <v>3360</v>
      </c>
      <c r="J9" s="77"/>
    </row>
    <row r="10" spans="1:11" x14ac:dyDescent="0.3">
      <c r="J10" s="77"/>
    </row>
    <row r="11" spans="1:11" x14ac:dyDescent="0.3">
      <c r="A11" s="1">
        <v>45351</v>
      </c>
      <c r="B11" s="12"/>
      <c r="C11" s="12"/>
      <c r="D11" s="12"/>
      <c r="E11" s="228" t="s">
        <v>12</v>
      </c>
      <c r="F11" s="228"/>
      <c r="G11" s="228" t="s">
        <v>12</v>
      </c>
      <c r="H11" s="18" t="s">
        <v>14</v>
      </c>
      <c r="I11" s="19" t="s">
        <v>13</v>
      </c>
      <c r="J11" s="30" t="s">
        <v>15</v>
      </c>
      <c r="K11" s="237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31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8"/>
    </row>
    <row r="13" spans="1:11" s="48" customFormat="1" x14ac:dyDescent="0.3">
      <c r="A13" s="63" t="s">
        <v>73</v>
      </c>
      <c r="B13" s="63" t="s">
        <v>25</v>
      </c>
      <c r="C13" s="64">
        <v>4</v>
      </c>
      <c r="D13" s="65"/>
      <c r="E13" s="66">
        <f>(C13*$B$2)+D13</f>
        <v>80</v>
      </c>
      <c r="F13" s="66">
        <f>E13*$B$4*$B$6</f>
        <v>4000</v>
      </c>
      <c r="G13" s="66">
        <f t="shared" ref="G13:G18" si="0">F13*$B$8</f>
        <v>1600</v>
      </c>
      <c r="H13" s="67">
        <v>10</v>
      </c>
      <c r="I13" s="68">
        <v>1620</v>
      </c>
      <c r="J13" s="33">
        <f t="shared" ref="J13:J14" si="1">I13-G13-H13</f>
        <v>10</v>
      </c>
      <c r="K13" s="24" t="s">
        <v>19</v>
      </c>
    </row>
    <row r="14" spans="1:11" x14ac:dyDescent="0.3">
      <c r="A14" s="63" t="s">
        <v>74</v>
      </c>
      <c r="B14" s="63" t="s">
        <v>25</v>
      </c>
      <c r="C14" s="9">
        <v>4</v>
      </c>
      <c r="D14" s="16">
        <v>8</v>
      </c>
      <c r="E14" s="31">
        <f>(C14*$B$2)+D14</f>
        <v>88</v>
      </c>
      <c r="F14" s="31">
        <f t="shared" ref="F14:F18" si="2">E14*$B$4*$B$6</f>
        <v>4400</v>
      </c>
      <c r="G14" s="31">
        <f t="shared" si="0"/>
        <v>1760</v>
      </c>
      <c r="H14" s="10"/>
      <c r="I14" s="68">
        <v>2340</v>
      </c>
      <c r="J14" s="33">
        <f t="shared" si="1"/>
        <v>580</v>
      </c>
      <c r="K14" s="24" t="s">
        <v>52</v>
      </c>
    </row>
    <row r="15" spans="1:11" x14ac:dyDescent="0.3">
      <c r="A15" s="63"/>
      <c r="B15" s="63"/>
      <c r="C15" s="9"/>
      <c r="D15" s="16"/>
      <c r="E15" s="31">
        <f t="shared" ref="E15:E18" si="3">(C15*$B$2)+D15</f>
        <v>0</v>
      </c>
      <c r="F15" s="31">
        <f t="shared" si="2"/>
        <v>0</v>
      </c>
      <c r="G15" s="31">
        <f t="shared" si="0"/>
        <v>0</v>
      </c>
      <c r="H15" s="10"/>
      <c r="I15" s="21"/>
      <c r="J15" s="33"/>
      <c r="K15" s="24"/>
    </row>
    <row r="16" spans="1:11" x14ac:dyDescent="0.3">
      <c r="A16" s="6"/>
      <c r="B16" s="6"/>
      <c r="C16" s="9"/>
      <c r="D16" s="16"/>
      <c r="E16" s="31">
        <f t="shared" si="3"/>
        <v>0</v>
      </c>
      <c r="F16" s="31">
        <f t="shared" si="2"/>
        <v>0</v>
      </c>
      <c r="G16" s="31">
        <f t="shared" si="0"/>
        <v>0</v>
      </c>
      <c r="H16" s="10"/>
      <c r="I16" s="21"/>
      <c r="J16" s="33"/>
      <c r="K16" s="24"/>
    </row>
    <row r="17" spans="1:11" x14ac:dyDescent="0.3">
      <c r="A17" s="6"/>
      <c r="B17" s="6"/>
      <c r="C17" s="9"/>
      <c r="D17" s="16"/>
      <c r="E17" s="31">
        <f t="shared" si="3"/>
        <v>0</v>
      </c>
      <c r="F17" s="31">
        <f t="shared" si="2"/>
        <v>0</v>
      </c>
      <c r="G17" s="31">
        <f t="shared" si="0"/>
        <v>0</v>
      </c>
      <c r="H17" s="10"/>
      <c r="I17" s="21"/>
      <c r="J17" s="33"/>
      <c r="K17" s="24"/>
    </row>
    <row r="18" spans="1:11" x14ac:dyDescent="0.3">
      <c r="A18" s="6"/>
      <c r="B18" s="6"/>
      <c r="C18" s="9"/>
      <c r="D18" s="16"/>
      <c r="E18" s="31">
        <f t="shared" si="3"/>
        <v>0</v>
      </c>
      <c r="F18" s="31">
        <f t="shared" si="2"/>
        <v>0</v>
      </c>
      <c r="G18" s="31">
        <f t="shared" si="0"/>
        <v>0</v>
      </c>
      <c r="H18" s="10"/>
      <c r="I18" s="21"/>
      <c r="J18" s="33"/>
      <c r="K18" s="24"/>
    </row>
    <row r="19" spans="1:11" x14ac:dyDescent="0.3">
      <c r="A19" s="5" t="s">
        <v>11</v>
      </c>
      <c r="B19" s="6"/>
      <c r="C19" s="7">
        <f>SUM(C13:C18)</f>
        <v>8</v>
      </c>
      <c r="D19" s="17">
        <f>SUM(D13:D18)</f>
        <v>8</v>
      </c>
      <c r="E19" s="32">
        <f>SUM(E13:E18)</f>
        <v>168</v>
      </c>
      <c r="F19" s="32">
        <f>SUM(F13:F18)</f>
        <v>8400</v>
      </c>
      <c r="G19" s="32">
        <f>SUM(G13:G18)</f>
        <v>3360</v>
      </c>
      <c r="H19" s="32">
        <f t="shared" ref="H19:I19" si="4">SUM(H13:H18)</f>
        <v>10</v>
      </c>
      <c r="I19" s="32">
        <f t="shared" si="4"/>
        <v>3960</v>
      </c>
      <c r="J19" s="34"/>
      <c r="K19" s="25"/>
    </row>
    <row r="20" spans="1:11" x14ac:dyDescent="0.3">
      <c r="E20" s="4">
        <f>E19/F1</f>
        <v>1</v>
      </c>
    </row>
    <row r="21" spans="1:11" x14ac:dyDescent="0.3">
      <c r="E21" s="4"/>
    </row>
    <row r="22" spans="1:11" x14ac:dyDescent="0.3">
      <c r="E22" s="4"/>
      <c r="F22" s="51" t="s">
        <v>12</v>
      </c>
      <c r="G22" s="51" t="s">
        <v>4</v>
      </c>
      <c r="H22" s="51" t="s">
        <v>14</v>
      </c>
      <c r="I22" s="51" t="s">
        <v>13</v>
      </c>
      <c r="J22" s="51" t="s">
        <v>15</v>
      </c>
    </row>
    <row r="23" spans="1:11" x14ac:dyDescent="0.3">
      <c r="F23" s="26" t="s">
        <v>25</v>
      </c>
      <c r="G23" s="27">
        <f>SUMIF($B$13:$B$18,$F$23,G13:G18)</f>
        <v>3360</v>
      </c>
      <c r="H23" s="27">
        <f t="shared" ref="H23:J23" si="5">SUMIF($B$13:$B$18,$F$23,H13:H18)</f>
        <v>10</v>
      </c>
      <c r="I23" s="27">
        <f t="shared" si="5"/>
        <v>3960</v>
      </c>
      <c r="J23" s="27">
        <f t="shared" si="5"/>
        <v>590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I24" si="6">SUMIF($B$13:$B$18,$F$24,H13:H18)</f>
        <v>0</v>
      </c>
      <c r="I24" s="27">
        <f t="shared" si="6"/>
        <v>0</v>
      </c>
      <c r="J24" s="27">
        <f>+J16</f>
        <v>0</v>
      </c>
    </row>
    <row r="25" spans="1:11" x14ac:dyDescent="0.3">
      <c r="F25" s="8" t="s">
        <v>34</v>
      </c>
      <c r="G25" s="7">
        <f>SUM(G23:G24)</f>
        <v>3360</v>
      </c>
      <c r="H25" s="7">
        <f t="shared" ref="H25:J25" si="7">SUM(H23:H24)</f>
        <v>10</v>
      </c>
      <c r="I25" s="7">
        <f t="shared" si="7"/>
        <v>3960</v>
      </c>
      <c r="J25" s="7">
        <f t="shared" si="7"/>
        <v>590</v>
      </c>
    </row>
  </sheetData>
  <mergeCells count="2">
    <mergeCell ref="E11:G11"/>
    <mergeCell ref="K11:K12"/>
  </mergeCells>
  <pageMargins left="0.25" right="0.25" top="0.75" bottom="0.75" header="0.3" footer="0.3"/>
  <pageSetup scale="74" fitToHeight="0" orientation="landscape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6691-4528-4475-B4FF-BE4675B81BB6}">
  <sheetPr>
    <pageSetUpPr fitToPage="1"/>
  </sheetPr>
  <dimension ref="A1:K25"/>
  <sheetViews>
    <sheetView showGridLines="0" zoomScale="90" zoomScaleNormal="90" workbookViewId="0">
      <selection activeCell="K25" sqref="K25"/>
    </sheetView>
  </sheetViews>
  <sheetFormatPr defaultRowHeight="14.4" x14ac:dyDescent="0.3"/>
  <cols>
    <col min="1" max="1" width="28.88671875" bestFit="1" customWidth="1"/>
    <col min="2" max="2" width="9.44140625" bestFit="1" customWidth="1"/>
    <col min="7" max="7" width="10.33203125" customWidth="1"/>
    <col min="9" max="10" width="10.6640625" customWidth="1"/>
    <col min="11" max="11" width="50.33203125" bestFit="1" customWidth="1"/>
  </cols>
  <sheetData>
    <row r="1" spans="1:11" x14ac:dyDescent="0.3">
      <c r="A1" s="28" t="s">
        <v>3</v>
      </c>
      <c r="B1" s="112">
        <f>C19+(D19/B2)</f>
        <v>0.33333333333333331</v>
      </c>
      <c r="C1" s="69">
        <v>1</v>
      </c>
      <c r="E1" s="5" t="s">
        <v>26</v>
      </c>
      <c r="F1" s="6">
        <v>16</v>
      </c>
      <c r="G1" s="6" t="s">
        <v>18</v>
      </c>
    </row>
    <row r="2" spans="1:11" x14ac:dyDescent="0.3">
      <c r="A2" s="6" t="s">
        <v>6</v>
      </c>
      <c r="B2" s="6">
        <v>48</v>
      </c>
      <c r="E2" s="5" t="s">
        <v>16</v>
      </c>
      <c r="F2" s="122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16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48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480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192</v>
      </c>
      <c r="D9" s="60"/>
      <c r="G9" s="44"/>
    </row>
    <row r="10" spans="1:11" x14ac:dyDescent="0.3">
      <c r="I10" s="45"/>
    </row>
    <row r="11" spans="1:11" x14ac:dyDescent="0.3">
      <c r="A11" s="1">
        <v>45744</v>
      </c>
      <c r="B11" s="12"/>
      <c r="C11" s="12"/>
      <c r="D11" s="12"/>
      <c r="E11" s="228" t="s">
        <v>12</v>
      </c>
      <c r="F11" s="228"/>
      <c r="G11" s="228"/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ht="14.4" customHeight="1" x14ac:dyDescent="0.3">
      <c r="A13" s="6" t="s">
        <v>137</v>
      </c>
      <c r="B13" s="6" t="s">
        <v>25</v>
      </c>
      <c r="C13" s="9"/>
      <c r="D13" s="61">
        <v>16</v>
      </c>
      <c r="E13" s="62">
        <f t="shared" ref="E13:E18" si="0">(C13*$B$2)+D13</f>
        <v>16</v>
      </c>
      <c r="F13" s="31">
        <f t="shared" ref="F13:F18" si="1">E13*$B$4*$B$6</f>
        <v>480</v>
      </c>
      <c r="G13" s="31">
        <f>F13*$B$8</f>
        <v>192</v>
      </c>
      <c r="H13" s="10">
        <v>8</v>
      </c>
      <c r="I13" s="20">
        <v>4860</v>
      </c>
      <c r="J13" s="33">
        <f>I13-G13-H13</f>
        <v>4660</v>
      </c>
      <c r="K13" s="24" t="s">
        <v>52</v>
      </c>
    </row>
    <row r="14" spans="1:11" x14ac:dyDescent="0.3">
      <c r="B14" s="6"/>
      <c r="C14" s="9"/>
      <c r="D14" s="61"/>
      <c r="E14" s="31">
        <f t="shared" si="0"/>
        <v>0</v>
      </c>
      <c r="F14" s="31">
        <f t="shared" si="1"/>
        <v>0</v>
      </c>
      <c r="G14" s="31">
        <f t="shared" ref="G14:G18" si="2">F14*$B$8</f>
        <v>0</v>
      </c>
      <c r="H14" s="10"/>
      <c r="I14" s="21"/>
      <c r="J14" s="33">
        <f t="shared" ref="J14:J15" si="3">I14-G14-H14</f>
        <v>0</v>
      </c>
      <c r="K14" s="24"/>
    </row>
    <row r="15" spans="1:11" x14ac:dyDescent="0.3">
      <c r="A15" s="6"/>
      <c r="B15" s="6"/>
      <c r="C15" s="9"/>
      <c r="D15" s="16"/>
      <c r="E15" s="31">
        <f t="shared" si="0"/>
        <v>0</v>
      </c>
      <c r="F15" s="31">
        <f t="shared" si="1"/>
        <v>0</v>
      </c>
      <c r="G15" s="31">
        <f t="shared" si="2"/>
        <v>0</v>
      </c>
      <c r="H15" s="10"/>
      <c r="I15" s="21"/>
      <c r="J15" s="33">
        <f t="shared" si="3"/>
        <v>0</v>
      </c>
      <c r="K15" s="24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3">
        <f t="shared" ref="J16:J18" si="4">I16-G16-H16</f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3">
        <f t="shared" si="4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1"/>
      <c r="J18" s="33">
        <f t="shared" si="4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16</v>
      </c>
      <c r="E19" s="32">
        <f>SUM(E13:E18)</f>
        <v>16</v>
      </c>
      <c r="F19" s="32">
        <f>SUM(F13:F18)</f>
        <v>480</v>
      </c>
      <c r="G19" s="32">
        <f>SUM(G13:G18)</f>
        <v>192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D21" s="44"/>
      <c r="E21" s="4"/>
    </row>
    <row r="22" spans="1:11" x14ac:dyDescent="0.3">
      <c r="E22" s="4"/>
      <c r="F22" s="54" t="s">
        <v>12</v>
      </c>
      <c r="G22" s="54" t="s">
        <v>4</v>
      </c>
      <c r="H22" s="55" t="s">
        <v>14</v>
      </c>
      <c r="I22" s="56" t="s">
        <v>13</v>
      </c>
      <c r="J22" s="54" t="s">
        <v>15</v>
      </c>
    </row>
    <row r="23" spans="1:11" x14ac:dyDescent="0.3">
      <c r="F23" s="26" t="s">
        <v>25</v>
      </c>
      <c r="G23" s="27">
        <f>SUMIF($B$13:$B$18,$F$23,G13:G18)</f>
        <v>192</v>
      </c>
      <c r="H23" s="27">
        <f t="shared" ref="H23:J23" si="5">SUMIF($B$13:$B$18,$F$23,H13:H18)</f>
        <v>8</v>
      </c>
      <c r="I23" s="27">
        <f t="shared" si="5"/>
        <v>4860</v>
      </c>
      <c r="J23" s="27">
        <f t="shared" si="5"/>
        <v>4660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6">SUMIF($B$13:$B$18,$F$24,H13:H18)</f>
        <v>0</v>
      </c>
      <c r="I24" s="27">
        <f t="shared" si="6"/>
        <v>0</v>
      </c>
      <c r="J24" s="27">
        <f t="shared" si="6"/>
        <v>0</v>
      </c>
    </row>
    <row r="25" spans="1:11" x14ac:dyDescent="0.3">
      <c r="F25" s="8" t="s">
        <v>34</v>
      </c>
      <c r="G25" s="7">
        <f>SUM(G23:G24)</f>
        <v>192</v>
      </c>
      <c r="H25" s="7">
        <f t="shared" ref="H25:J25" si="7">SUM(H23:H24)</f>
        <v>8</v>
      </c>
      <c r="I25" s="7">
        <f t="shared" si="7"/>
        <v>4860</v>
      </c>
      <c r="J25" s="7">
        <f t="shared" si="7"/>
        <v>4660</v>
      </c>
    </row>
  </sheetData>
  <mergeCells count="1">
    <mergeCell ref="E11:G11"/>
  </mergeCells>
  <pageMargins left="0.7" right="0.7" top="0.75" bottom="0.75" header="0.3" footer="0.3"/>
  <pageSetup scale="74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EC15-73D9-46C4-90AD-3E1BC7B05D23}">
  <sheetPr>
    <pageSetUpPr fitToPage="1"/>
  </sheetPr>
  <dimension ref="A1:K25"/>
  <sheetViews>
    <sheetView showGridLines="0" zoomScaleNormal="100" workbookViewId="0">
      <selection sqref="A1:K25"/>
    </sheetView>
  </sheetViews>
  <sheetFormatPr defaultRowHeight="14.4" x14ac:dyDescent="0.3"/>
  <cols>
    <col min="1" max="1" width="28.88671875" bestFit="1" customWidth="1"/>
    <col min="7" max="7" width="10.33203125" customWidth="1"/>
    <col min="9" max="10" width="10.6640625" customWidth="1"/>
    <col min="11" max="11" width="40.44140625" customWidth="1"/>
  </cols>
  <sheetData>
    <row r="1" spans="1:11" x14ac:dyDescent="0.3">
      <c r="A1" s="28" t="s">
        <v>3</v>
      </c>
      <c r="B1" s="112">
        <f>C19+(D19/B2)</f>
        <v>8.3333333333333329E-2</v>
      </c>
      <c r="E1" s="5" t="s">
        <v>26</v>
      </c>
      <c r="F1" s="6">
        <v>4</v>
      </c>
      <c r="G1" s="6" t="s">
        <v>18</v>
      </c>
    </row>
    <row r="2" spans="1:11" x14ac:dyDescent="0.3">
      <c r="A2" s="6" t="s">
        <v>6</v>
      </c>
      <c r="B2" s="6">
        <v>48</v>
      </c>
      <c r="E2" s="5" t="s">
        <v>16</v>
      </c>
      <c r="F2" s="122">
        <f>F1-B3</f>
        <v>0</v>
      </c>
      <c r="G2" s="6" t="s">
        <v>18</v>
      </c>
    </row>
    <row r="3" spans="1:11" x14ac:dyDescent="0.3">
      <c r="A3" s="28" t="s">
        <v>0</v>
      </c>
      <c r="B3" s="29">
        <f>B1*B2</f>
        <v>4</v>
      </c>
    </row>
    <row r="4" spans="1:11" x14ac:dyDescent="0.3">
      <c r="A4" s="6" t="s">
        <v>8</v>
      </c>
      <c r="B4" s="6">
        <v>3</v>
      </c>
    </row>
    <row r="5" spans="1:11" x14ac:dyDescent="0.3">
      <c r="A5" s="28" t="s">
        <v>1</v>
      </c>
      <c r="B5" s="29">
        <f>B3*B4</f>
        <v>12</v>
      </c>
    </row>
    <row r="6" spans="1:11" x14ac:dyDescent="0.3">
      <c r="A6" s="6" t="s">
        <v>9</v>
      </c>
      <c r="B6" s="6">
        <v>10</v>
      </c>
    </row>
    <row r="7" spans="1:11" x14ac:dyDescent="0.3">
      <c r="A7" s="28" t="s">
        <v>2</v>
      </c>
      <c r="B7" s="29">
        <f>B5*B6</f>
        <v>120</v>
      </c>
    </row>
    <row r="8" spans="1:11" x14ac:dyDescent="0.3">
      <c r="A8" s="6" t="s">
        <v>7</v>
      </c>
      <c r="B8" s="6">
        <v>0.4</v>
      </c>
    </row>
    <row r="9" spans="1:11" x14ac:dyDescent="0.3">
      <c r="A9" s="28" t="s">
        <v>4</v>
      </c>
      <c r="B9" s="29">
        <f>B7*B8</f>
        <v>48</v>
      </c>
      <c r="D9" s="60"/>
    </row>
    <row r="10" spans="1:11" x14ac:dyDescent="0.3">
      <c r="I10" s="45"/>
    </row>
    <row r="11" spans="1:11" x14ac:dyDescent="0.3">
      <c r="A11" s="1">
        <v>45324</v>
      </c>
      <c r="B11" s="12"/>
      <c r="C11" s="12"/>
      <c r="D11" s="12"/>
      <c r="E11" s="228" t="s">
        <v>12</v>
      </c>
      <c r="F11" s="228"/>
      <c r="G11" s="228"/>
      <c r="H11" s="18" t="s">
        <v>14</v>
      </c>
      <c r="I11" s="19" t="s">
        <v>13</v>
      </c>
      <c r="J11" s="30" t="s">
        <v>15</v>
      </c>
      <c r="K11" s="18" t="s">
        <v>17</v>
      </c>
    </row>
    <row r="12" spans="1:11" x14ac:dyDescent="0.3">
      <c r="A12" s="13" t="s">
        <v>24</v>
      </c>
      <c r="B12" s="13" t="s">
        <v>20</v>
      </c>
      <c r="C12" s="13" t="s">
        <v>3</v>
      </c>
      <c r="D12" s="15" t="s">
        <v>10</v>
      </c>
      <c r="E12" s="30" t="s">
        <v>11</v>
      </c>
      <c r="F12" s="30" t="s">
        <v>5</v>
      </c>
      <c r="G12" s="30" t="s">
        <v>4</v>
      </c>
      <c r="H12" s="18" t="s">
        <v>4</v>
      </c>
      <c r="I12" s="19" t="s">
        <v>4</v>
      </c>
      <c r="J12" s="30" t="s">
        <v>4</v>
      </c>
      <c r="K12" s="23"/>
    </row>
    <row r="13" spans="1:11" ht="14.4" customHeight="1" x14ac:dyDescent="0.3">
      <c r="A13" s="6" t="s">
        <v>72</v>
      </c>
      <c r="B13" s="6" t="s">
        <v>25</v>
      </c>
      <c r="C13" s="9"/>
      <c r="D13" s="61">
        <v>4</v>
      </c>
      <c r="E13" s="62">
        <f t="shared" ref="E13:E18" si="0">(C13*$B$2)+D13</f>
        <v>4</v>
      </c>
      <c r="F13" s="31">
        <f t="shared" ref="F13:F18" si="1">E13*$B$4*$B$6</f>
        <v>120</v>
      </c>
      <c r="G13" s="31">
        <f>F13*$B$8</f>
        <v>48</v>
      </c>
      <c r="H13" s="10"/>
      <c r="I13" s="20">
        <v>55</v>
      </c>
      <c r="J13" s="33">
        <f>I13-G13-H13</f>
        <v>7</v>
      </c>
      <c r="K13" s="24" t="s">
        <v>35</v>
      </c>
    </row>
    <row r="14" spans="1:11" x14ac:dyDescent="0.3">
      <c r="A14" s="6"/>
      <c r="B14" s="6"/>
      <c r="C14" s="9"/>
      <c r="D14" s="61"/>
      <c r="E14" s="31">
        <f t="shared" si="0"/>
        <v>0</v>
      </c>
      <c r="F14" s="31">
        <v>10</v>
      </c>
      <c r="G14" s="31">
        <f t="shared" ref="G14:G18" si="2">F14*$B$8</f>
        <v>4</v>
      </c>
      <c r="H14" s="10"/>
      <c r="I14" s="21"/>
      <c r="J14" s="33">
        <f>I14-G14-H14</f>
        <v>-4</v>
      </c>
      <c r="K14" s="24"/>
    </row>
    <row r="15" spans="1:11" x14ac:dyDescent="0.3">
      <c r="A15" s="6"/>
      <c r="B15" s="6"/>
      <c r="C15" s="9"/>
      <c r="D15" s="16"/>
      <c r="E15" s="31">
        <f t="shared" si="0"/>
        <v>0</v>
      </c>
      <c r="F15" s="31">
        <f t="shared" si="1"/>
        <v>0</v>
      </c>
      <c r="G15" s="31">
        <f t="shared" si="2"/>
        <v>0</v>
      </c>
      <c r="H15" s="10"/>
      <c r="I15" s="21"/>
      <c r="J15" s="33">
        <f t="shared" ref="J15:J18" si="3">I15-G15-H15</f>
        <v>0</v>
      </c>
      <c r="K15" s="24"/>
    </row>
    <row r="16" spans="1:11" x14ac:dyDescent="0.3">
      <c r="A16" s="6"/>
      <c r="B16" s="6"/>
      <c r="C16" s="9"/>
      <c r="D16" s="16"/>
      <c r="E16" s="31">
        <f t="shared" si="0"/>
        <v>0</v>
      </c>
      <c r="F16" s="31">
        <f t="shared" si="1"/>
        <v>0</v>
      </c>
      <c r="G16" s="31">
        <f t="shared" si="2"/>
        <v>0</v>
      </c>
      <c r="H16" s="10"/>
      <c r="I16" s="21"/>
      <c r="J16" s="33">
        <f t="shared" si="3"/>
        <v>0</v>
      </c>
      <c r="K16" s="24"/>
    </row>
    <row r="17" spans="1:11" x14ac:dyDescent="0.3">
      <c r="A17" s="6"/>
      <c r="B17" s="6"/>
      <c r="C17" s="9"/>
      <c r="D17" s="16"/>
      <c r="E17" s="31">
        <f t="shared" si="0"/>
        <v>0</v>
      </c>
      <c r="F17" s="31">
        <f t="shared" si="1"/>
        <v>0</v>
      </c>
      <c r="G17" s="31">
        <f t="shared" si="2"/>
        <v>0</v>
      </c>
      <c r="H17" s="10"/>
      <c r="I17" s="21"/>
      <c r="J17" s="33">
        <f t="shared" si="3"/>
        <v>0</v>
      </c>
      <c r="K17" s="24"/>
    </row>
    <row r="18" spans="1:11" x14ac:dyDescent="0.3">
      <c r="A18" s="6"/>
      <c r="B18" s="6"/>
      <c r="C18" s="9"/>
      <c r="D18" s="16"/>
      <c r="E18" s="31">
        <f t="shared" si="0"/>
        <v>0</v>
      </c>
      <c r="F18" s="31">
        <f t="shared" si="1"/>
        <v>0</v>
      </c>
      <c r="G18" s="31">
        <f t="shared" si="2"/>
        <v>0</v>
      </c>
      <c r="H18" s="10"/>
      <c r="I18" s="21"/>
      <c r="J18" s="33">
        <f t="shared" si="3"/>
        <v>0</v>
      </c>
      <c r="K18" s="24"/>
    </row>
    <row r="19" spans="1:11" x14ac:dyDescent="0.3">
      <c r="A19" s="5" t="s">
        <v>11</v>
      </c>
      <c r="B19" s="6"/>
      <c r="C19" s="7">
        <f>SUM(C13:C18)</f>
        <v>0</v>
      </c>
      <c r="D19" s="17">
        <f>SUM(D13:D18)</f>
        <v>4</v>
      </c>
      <c r="E19" s="32">
        <f>SUM(E13:E18)</f>
        <v>4</v>
      </c>
      <c r="F19" s="32">
        <f>SUM(F13:F18)</f>
        <v>130</v>
      </c>
      <c r="G19" s="32">
        <f>SUM(G13:G18)</f>
        <v>52</v>
      </c>
      <c r="H19" s="11"/>
      <c r="I19" s="22"/>
      <c r="J19" s="34"/>
      <c r="K19" s="25"/>
    </row>
    <row r="20" spans="1:11" x14ac:dyDescent="0.3">
      <c r="E20" s="4">
        <f>E19/F1</f>
        <v>1</v>
      </c>
    </row>
    <row r="21" spans="1:11" x14ac:dyDescent="0.3">
      <c r="D21" s="44"/>
      <c r="E21" s="4"/>
    </row>
    <row r="22" spans="1:11" x14ac:dyDescent="0.3">
      <c r="E22" s="4"/>
      <c r="F22" s="54" t="s">
        <v>12</v>
      </c>
      <c r="G22" s="54" t="s">
        <v>4</v>
      </c>
      <c r="H22" s="55" t="s">
        <v>14</v>
      </c>
      <c r="I22" s="56" t="s">
        <v>13</v>
      </c>
      <c r="J22" s="54" t="s">
        <v>15</v>
      </c>
    </row>
    <row r="23" spans="1:11" x14ac:dyDescent="0.3">
      <c r="F23" s="26" t="s">
        <v>25</v>
      </c>
      <c r="G23" s="27">
        <f>SUMIF($B$13:$B$18,$F$23,G13:G18)</f>
        <v>48</v>
      </c>
      <c r="H23" s="27">
        <f t="shared" ref="H23:J23" si="4">SUMIF($B$13:$B$18,$F$23,H13:H18)</f>
        <v>0</v>
      </c>
      <c r="I23" s="27">
        <f t="shared" si="4"/>
        <v>55</v>
      </c>
      <c r="J23" s="27">
        <f t="shared" si="4"/>
        <v>7</v>
      </c>
    </row>
    <row r="24" spans="1:11" x14ac:dyDescent="0.3">
      <c r="F24" s="14" t="s">
        <v>27</v>
      </c>
      <c r="G24" s="27">
        <f>SUMIF($B$13:$B$18,$F$24,G13:G18)</f>
        <v>0</v>
      </c>
      <c r="H24" s="27">
        <f t="shared" ref="H24:J24" si="5">SUMIF($B$13:$B$18,$F$24,H13:H18)</f>
        <v>0</v>
      </c>
      <c r="I24" s="27">
        <f t="shared" si="5"/>
        <v>0</v>
      </c>
      <c r="J24" s="27">
        <f t="shared" si="5"/>
        <v>0</v>
      </c>
    </row>
    <row r="25" spans="1:11" x14ac:dyDescent="0.3">
      <c r="F25" s="8" t="s">
        <v>34</v>
      </c>
      <c r="G25" s="7">
        <f>SUM(G23:G24)</f>
        <v>48</v>
      </c>
      <c r="H25" s="7">
        <f t="shared" ref="H25:J25" si="6">SUM(H23:H24)</f>
        <v>0</v>
      </c>
      <c r="I25" s="7">
        <f t="shared" si="6"/>
        <v>55</v>
      </c>
      <c r="J25" s="7">
        <f t="shared" si="6"/>
        <v>7</v>
      </c>
    </row>
  </sheetData>
  <mergeCells count="1">
    <mergeCell ref="E11:G11"/>
  </mergeCells>
  <pageMargins left="0.7" right="0.7" top="0.75" bottom="0.75" header="0.3" footer="0.3"/>
  <pageSetup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Moly Tech Fine Pail - Powder</vt:lpstr>
      <vt:lpstr>CCL Keg</vt:lpstr>
      <vt:lpstr>Stock Correction</vt:lpstr>
      <vt:lpstr>Sheet4</vt:lpstr>
      <vt:lpstr>Anderol 86 EP-2</vt:lpstr>
      <vt:lpstr>Anderol FGCS-2</vt:lpstr>
      <vt:lpstr>Amsoil Dominator GRGCR</vt:lpstr>
      <vt:lpstr>Amsoil GPOR1 - 425 g</vt:lpstr>
      <vt:lpstr>Amsoil GPOR2CR - 425 g</vt:lpstr>
      <vt:lpstr>Amsoil GPTR1 397g </vt:lpstr>
      <vt:lpstr>Amsoil GPTR2 397g</vt:lpstr>
      <vt:lpstr>Amsoil GWRCR 397g</vt:lpstr>
      <vt:lpstr>Amsoil Multipurpose GLCCR 397g </vt:lpstr>
      <vt:lpstr>Amsoil XDP460- 397g </vt:lpstr>
      <vt:lpstr>Amsoil XDP680- 397g</vt:lpstr>
      <vt:lpstr>AwSUM (2231-2) 410g</vt:lpstr>
      <vt:lpstr>AwSUM (2231-2) 17 kg Pail</vt:lpstr>
      <vt:lpstr>AwSUM (2234-2) 400g</vt:lpstr>
      <vt:lpstr>AwSUM (2080-2) 4 kg Pail </vt:lpstr>
      <vt:lpstr>AwSUM (2080-2) 17 kg Pail  </vt:lpstr>
      <vt:lpstr>AwSUM 435g</vt:lpstr>
      <vt:lpstr>Blue Lith EP0 (black t-red cap)</vt:lpstr>
      <vt:lpstr>Comlube PM+ 2094 EP 1.5</vt:lpstr>
      <vt:lpstr>Comlube PM+ 2094 EP 1.5 keg</vt:lpstr>
      <vt:lpstr>Comlube PM+ 2094 EP 1.5 pail</vt:lpstr>
      <vt:lpstr>Day Distributing</vt:lpstr>
      <vt:lpstr>Generic tubes</vt:lpstr>
      <vt:lpstr>Godfather ASREDSS1.5</vt:lpstr>
      <vt:lpstr>Grote 12-pack</vt:lpstr>
      <vt:lpstr>Grote 12-pack Jars</vt:lpstr>
      <vt:lpstr>Grote 50-pack</vt:lpstr>
      <vt:lpstr>Hi Tek</vt:lpstr>
      <vt:lpstr>Hipertech 430g</vt:lpstr>
      <vt:lpstr>Hipertech APG-2 430g </vt:lpstr>
      <vt:lpstr>John Day 40 pack</vt:lpstr>
      <vt:lpstr>KleenOil PowerUp</vt:lpstr>
      <vt:lpstr>LMX-77 (60 pack)</vt:lpstr>
      <vt:lpstr>Lubri-Lab Inc</vt:lpstr>
      <vt:lpstr>Others</vt:lpstr>
      <vt:lpstr>PC 3 Moly 322</vt:lpstr>
      <vt:lpstr>PC LLG</vt:lpstr>
      <vt:lpstr>PC Precision Synthetic 220</vt:lpstr>
      <vt:lpstr>PC Purity FG2 MP</vt:lpstr>
      <vt:lpstr>PC Purity FG2 Syn </vt:lpstr>
      <vt:lpstr>PC Purity FG2 Syn Heavy 220</vt:lpstr>
      <vt:lpstr>PC OG0</vt:lpstr>
      <vt:lpstr>PC OG Plus</vt:lpstr>
      <vt:lpstr>PC OG1</vt:lpstr>
      <vt:lpstr>PC OG2</vt:lpstr>
      <vt:lpstr>PC OG2 Red</vt:lpstr>
      <vt:lpstr>PC XCG Flex</vt:lpstr>
      <vt:lpstr>Pro-Lub CHD 400</vt:lpstr>
      <vt:lpstr>Purge &amp; Lube</vt:lpstr>
      <vt:lpstr>Robco (60 pack)</vt:lpstr>
      <vt:lpstr>Robco (30 pack) </vt:lpstr>
      <vt:lpstr>Shell Ext</vt:lpstr>
      <vt:lpstr>Shell Moly</vt:lpstr>
      <vt:lpstr>TLS EMRO 505 - 400g </vt:lpstr>
      <vt:lpstr>TLS EMRO 500 - 400g</vt:lpstr>
      <vt:lpstr>VIP G-2193-2</vt:lpstr>
      <vt:lpstr>VIP G-2010-2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</dc:creator>
  <cp:lastModifiedBy>Canoil Canada</cp:lastModifiedBy>
  <cp:lastPrinted>2025-10-28T13:59:50Z</cp:lastPrinted>
  <dcterms:created xsi:type="dcterms:W3CDTF">2022-04-05T19:15:03Z</dcterms:created>
  <dcterms:modified xsi:type="dcterms:W3CDTF">2025-10-28T14:00:03Z</dcterms:modified>
</cp:coreProperties>
</file>