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<sst xmlns="http://schemas.openxmlformats.org/spreadsheetml/2006/main" count="64" uniqueCount="62">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</sst>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0C6-0AA8-4B69-A7CC-188CC216FD3E}">
  <sheetPr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defaultColWidth="12.54296875" defaultRowHeight="15.5" x14ac:dyDescent="0.35"/>
  <cols>
    <col min="1" max="1" width="3.90625" style="14" customWidth="1"/>
    <col min="2" max="3" width="40.6328125" style="14" customWidth="1"/>
    <col min="4" max="8" width="11.6328125" style="14" customWidth="1"/>
    <col min="9" max="9" width="28" style="14" customWidth="1"/>
    <col min="10" max="10" width="3.90625" style="14" customWidth="1"/>
    <col min="11" max="11" width="4.08984375" style="14" customWidth="1"/>
    <col min="12" max="16384" width="12.54296875" style="14"/>
  </cols>
  <sheetData>
    <row r="1" spans="2:11" s="10" customFormat="1" ht="50.15" customHeight="1" x14ac:dyDescent="0.35">
      <c r="B1" s="7"/>
      <c r="C1" s="8"/>
      <c r="D1" s="9"/>
      <c r="E1" s="9"/>
      <c r="F1" s="9"/>
      <c r="G1" s="9"/>
      <c r="H1" s="9"/>
      <c r="I1" s="9"/>
      <c r="J1" s="9"/>
      <c r="K1" s="9"/>
    </row>
    <row r="2" spans="2:11" s="10" customFormat="1" ht="39.9" customHeight="1" x14ac:dyDescent="0.4">
      <c r="B2" s="34" t="s">
        <v>19</v>
      </c>
      <c r="C2" s="34"/>
      <c r="D2" s="9"/>
      <c r="E2" s="9"/>
      <c r="F2" s="9"/>
      <c r="G2" s="9"/>
      <c r="H2" s="11"/>
      <c r="I2" s="12" t="s">
        <v>20</v>
      </c>
      <c r="J2" s="9"/>
      <c r="K2" s="9"/>
    </row>
    <row r="3" spans="2:11" s="10" customFormat="1" ht="39.9" customHeight="1" x14ac:dyDescent="0.35">
      <c r="B3" s="35"/>
      <c r="C3" s="35"/>
      <c r="D3" s="9"/>
      <c r="E3" s="9"/>
      <c r="F3" s="9"/>
      <c r="G3" s="9"/>
      <c r="H3" s="11"/>
      <c r="I3" s="13" t="s">
        <v>21</v>
      </c>
      <c r="J3" s="9"/>
      <c r="K3" s="9"/>
    </row>
    <row r="4" spans="2:11" ht="21.9" customHeight="1" x14ac:dyDescent="0.35">
      <c r="B4" s="43" t="s">
        <v>37</v>
      </c>
      <c r="C4" s="44"/>
      <c r="I4" s="2" t="s">
        <v>34</v>
      </c>
      <c r="J4" s="15"/>
    </row>
    <row r="5" spans="2:11" ht="21.9" customHeight="1" x14ac:dyDescent="0.35">
      <c r="B5" s="37" t="s">
        <v>60</v>
      </c>
      <c r="C5" s="38"/>
      <c r="I5" s="3" t="str">
        <f>IF(ISBLANK(I11), "", CONCATENATE("PR-", TEXT(I11, "yyyy-mm-dd")))</f>
        <v>PR-2025-06-09</v>
      </c>
      <c r="J5" s="15"/>
    </row>
    <row r="6" spans="2:11" ht="21.9" customHeight="1" x14ac:dyDescent="0.35">
      <c r="B6" s="39"/>
      <c r="C6" s="40"/>
      <c r="I6" s="2" t="s">
        <v>22</v>
      </c>
      <c r="J6" s="15"/>
    </row>
    <row r="7" spans="2:11" ht="21.9" customHeight="1" x14ac:dyDescent="0.35">
      <c r="B7" s="41"/>
      <c r="C7" s="42"/>
      <c r="I7" s="3" t="s">
        <v>DIRECT_EDIT_TEST</v>
      </c>
      <c r="J7" s="15"/>
    </row>
    <row r="8" spans="2:11" ht="21.9" customHeight="1" x14ac:dyDescent="0.35">
      <c r="B8" s="16" t="s">
        <v>47</v>
      </c>
      <c r="C8" s="2" t="s">
        <v>26</v>
      </c>
      <c r="D8" s="17"/>
      <c r="E8" s="17"/>
      <c r="F8" s="17"/>
      <c r="G8" s="17"/>
      <c r="H8" s="17"/>
      <c r="I8" s="2" t="s">
        <v>23</v>
      </c>
      <c r="J8" s="15"/>
    </row>
    <row r="9" spans="2:11" ht="57" customHeight="1" x14ac:dyDescent="0.35">
      <c r="B9" s="18" t="s">
        <v>57</v>
      </c>
      <c r="C9" s="18" t="s">
        <v>55</v>
      </c>
      <c r="D9" s="17"/>
      <c r="E9" s="17"/>
      <c r="F9" s="17"/>
      <c r="G9" s="17"/>
      <c r="H9" s="17"/>
      <c r="I9" s="4" t="s">
        <v>49</v>
      </c>
      <c r="J9" s="15"/>
    </row>
    <row r="10" spans="2:11" ht="21.9" customHeight="1" x14ac:dyDescent="0.35">
      <c r="B10" s="18"/>
      <c r="C10" s="19"/>
      <c r="D10" s="17"/>
      <c r="E10" s="17"/>
      <c r="F10" s="17"/>
      <c r="G10" s="17"/>
      <c r="H10" s="17"/>
      <c r="I10" s="2" t="s">
        <v>24</v>
      </c>
      <c r="J10" s="15"/>
    </row>
    <row r="11" spans="2:11" ht="21.9" customHeight="1" x14ac:dyDescent="0.35">
      <c r="B11" s="18" t="s">
        <v>50</v>
      </c>
      <c r="C11" s="18" t="s">
        <v>56</v>
      </c>
      <c r="D11" s="17"/>
      <c r="E11" s="17"/>
      <c r="F11" s="17"/>
      <c r="G11" s="17"/>
      <c r="H11" s="17"/>
      <c r="I11" s="5">
        <v>45817</v>
      </c>
      <c r="J11" s="15"/>
    </row>
    <row r="12" spans="2:11" ht="21.9" customHeight="1" x14ac:dyDescent="0.35">
      <c r="B12" s="2" t="s">
        <v>48</v>
      </c>
      <c r="C12" s="18"/>
      <c r="D12" s="17"/>
      <c r="E12" s="17"/>
      <c r="F12" s="17"/>
      <c r="G12" s="17"/>
      <c r="H12" s="17"/>
      <c r="I12" s="2" t="s">
        <v>25</v>
      </c>
      <c r="J12" s="17"/>
    </row>
    <row r="13" spans="2:11" ht="21.9" customHeight="1" x14ac:dyDescent="0.35">
      <c r="B13" s="18" t="s">
        <v>51</v>
      </c>
      <c r="C13" s="18"/>
      <c r="D13" s="17"/>
      <c r="E13" s="17"/>
      <c r="F13" s="17"/>
      <c r="G13" s="17"/>
      <c r="H13" s="17"/>
      <c r="I13" s="5">
        <v>45838</v>
      </c>
      <c r="J13" s="17"/>
    </row>
    <row r="14" spans="2:11" ht="9" customHeight="1" x14ac:dyDescent="0.35">
      <c r="B14" s="20"/>
      <c r="C14" s="20"/>
      <c r="D14" s="20"/>
      <c r="E14" s="20"/>
      <c r="F14" s="20"/>
      <c r="G14" s="20"/>
      <c r="H14" s="20"/>
      <c r="I14" s="20"/>
      <c r="J14" s="15"/>
    </row>
    <row r="15" spans="2:11" ht="42" customHeight="1" x14ac:dyDescent="0.35">
      <c r="B15" s="1" t="s">
        <v>33</v>
      </c>
      <c r="C15" s="1" t="s">
        <v>27</v>
      </c>
      <c r="D15" s="1" t="s">
        <v>36</v>
      </c>
      <c r="E15" s="1" t="s">
        <v>46</v>
      </c>
      <c r="F15" s="1" t="s">
        <v>45</v>
      </c>
      <c r="G15" s="1" t="s">
        <v>28</v>
      </c>
      <c r="H15" s="1" t="s">
        <v>29</v>
      </c>
      <c r="I15" s="1" t="s">
        <v>30</v>
      </c>
      <c r="J15" s="15"/>
    </row>
    <row r="16" spans="2:11" ht="24.65" customHeight="1" x14ac:dyDescent="0.35">
      <c r="B16" s="6" t="s">
        <v>52</v>
      </c>
      <c r="C16" s="6" t="s">
        <v>53</v>
      </c>
      <c r="D16" s="6">
        <v>870</v>
      </c>
      <c r="E16" s="33">
        <v>0</v>
      </c>
      <c r="F16" s="6" t="s">
        <v>54</v>
      </c>
      <c r="G16" s="32">
        <v>7000</v>
      </c>
      <c r="H16" s="21">
        <v>5.22</v>
      </c>
      <c r="I16" s="21">
        <f>G16*H16</f>
        <v>36540</v>
      </c>
      <c r="J16" s="15"/>
    </row>
    <row r="17" spans="2:10" ht="31.75" customHeight="1" x14ac:dyDescent="0.35">
      <c r="B17" s="6" t="s">
        <v>58</v>
      </c>
      <c r="C17" s="6" t="s">
        <v>59</v>
      </c>
      <c r="D17" s="6">
        <v>90</v>
      </c>
      <c r="E17" s="33">
        <v>1755</v>
      </c>
      <c r="F17" s="6" t="s">
        <v>54</v>
      </c>
      <c r="G17" s="32">
        <v>8100</v>
      </c>
      <c r="H17" s="21">
        <v>6.76</v>
      </c>
      <c r="I17" s="21">
        <f>G17*H17</f>
        <v>54756</v>
      </c>
      <c r="J17" s="15"/>
    </row>
    <row r="18" spans="2:10" ht="28.25" customHeight="1" x14ac:dyDescent="0.35">
      <c r="B18" s="6"/>
      <c r="C18" s="6"/>
      <c r="D18" s="6"/>
      <c r="E18" s="6"/>
      <c r="F18" s="6"/>
      <c r="G18" s="32"/>
      <c r="H18" s="21"/>
      <c r="I18" s="21">
        <f>G18*H18</f>
        <v>0</v>
      </c>
      <c r="J18" s="15"/>
    </row>
    <row r="19" spans="2:10" ht="30" customHeight="1" x14ac:dyDescent="0.35">
      <c r="B19" s="6"/>
      <c r="C19" s="6"/>
      <c r="D19" s="6"/>
      <c r="E19" s="6"/>
      <c r="F19" s="6"/>
      <c r="G19" s="32"/>
      <c r="H19" s="21"/>
      <c r="I19" s="21">
        <f t="shared" ref="I19:I29" si="0">G19*H19</f>
        <v>0</v>
      </c>
      <c r="J19" s="15"/>
    </row>
    <row r="20" spans="2:10" ht="21.9" customHeight="1" x14ac:dyDescent="0.35">
      <c r="B20" s="6"/>
      <c r="C20" s="6"/>
      <c r="D20" s="6"/>
      <c r="E20" s="6"/>
      <c r="F20" s="6"/>
      <c r="G20" s="32"/>
      <c r="H20" s="21"/>
      <c r="I20" s="21">
        <f t="shared" si="0"/>
        <v>0</v>
      </c>
      <c r="J20" s="15"/>
    </row>
    <row r="21" spans="2:10" ht="21.9" customHeight="1" x14ac:dyDescent="0.35">
      <c r="B21" s="6"/>
      <c r="C21" s="6"/>
      <c r="D21" s="6"/>
      <c r="E21" s="6"/>
      <c r="F21" s="6"/>
      <c r="G21" s="32"/>
      <c r="H21" s="21"/>
      <c r="I21" s="21">
        <f t="shared" si="0"/>
        <v>0</v>
      </c>
      <c r="J21" s="15"/>
    </row>
    <row r="22" spans="2:10" ht="28.75" customHeight="1" x14ac:dyDescent="0.35">
      <c r="B22" s="6"/>
      <c r="C22" s="6"/>
      <c r="D22" s="6"/>
      <c r="E22" s="6"/>
      <c r="F22" s="6"/>
      <c r="G22" s="32"/>
      <c r="H22" s="21"/>
      <c r="I22" s="21">
        <f t="shared" si="0"/>
        <v>0</v>
      </c>
      <c r="J22" s="15"/>
    </row>
    <row r="23" spans="2:10" ht="30.65" customHeight="1" x14ac:dyDescent="0.35">
      <c r="B23" s="6"/>
      <c r="C23" s="6"/>
      <c r="D23" s="6"/>
      <c r="E23" s="6"/>
      <c r="F23" s="6"/>
      <c r="G23" s="32"/>
      <c r="H23" s="21"/>
      <c r="I23" s="21">
        <f t="shared" si="0"/>
        <v>0</v>
      </c>
      <c r="J23" s="15"/>
    </row>
    <row r="24" spans="2:10" ht="25.25" customHeight="1" x14ac:dyDescent="0.35">
      <c r="B24" s="22"/>
      <c r="C24" s="22"/>
      <c r="D24" s="6"/>
      <c r="E24" s="6"/>
      <c r="F24" s="6"/>
      <c r="G24" s="32"/>
      <c r="H24" s="21"/>
      <c r="I24" s="21">
        <f t="shared" si="0"/>
        <v>0</v>
      </c>
      <c r="J24" s="15"/>
    </row>
    <row r="25" spans="2:10" ht="21.9" customHeight="1" x14ac:dyDescent="0.35">
      <c r="B25" s="6"/>
      <c r="C25" s="6"/>
      <c r="D25" s="6"/>
      <c r="E25" s="6"/>
      <c r="F25" s="6"/>
      <c r="G25" s="32"/>
      <c r="H25" s="21"/>
      <c r="I25" s="21">
        <f t="shared" si="0"/>
        <v>0</v>
      </c>
      <c r="J25" s="15"/>
    </row>
    <row r="26" spans="2:10" ht="21.9" customHeight="1" x14ac:dyDescent="0.35">
      <c r="B26" s="6"/>
      <c r="C26" s="6"/>
      <c r="D26" s="6"/>
      <c r="E26" s="6"/>
      <c r="F26" s="6"/>
      <c r="G26" s="32"/>
      <c r="H26" s="21"/>
      <c r="I26" s="21">
        <f t="shared" si="0"/>
        <v>0</v>
      </c>
      <c r="J26" s="15"/>
    </row>
    <row r="27" spans="2:10" ht="21.9" customHeight="1" x14ac:dyDescent="0.35">
      <c r="B27" s="6"/>
      <c r="C27" s="6"/>
      <c r="D27" s="6"/>
      <c r="E27" s="6"/>
      <c r="F27" s="6"/>
      <c r="G27" s="32"/>
      <c r="H27" s="21"/>
      <c r="I27" s="21">
        <f t="shared" si="0"/>
        <v>0</v>
      </c>
      <c r="J27" s="15"/>
    </row>
    <row r="28" spans="2:10" ht="21.9" customHeight="1" x14ac:dyDescent="0.35">
      <c r="B28" s="6"/>
      <c r="C28" s="6"/>
      <c r="D28" s="6"/>
      <c r="E28" s="6"/>
      <c r="F28" s="6"/>
      <c r="G28" s="32"/>
      <c r="H28" s="21"/>
      <c r="I28" s="21">
        <f t="shared" si="0"/>
        <v>0</v>
      </c>
      <c r="J28" s="15"/>
    </row>
    <row r="29" spans="2:10" ht="21.9" customHeight="1" x14ac:dyDescent="0.35">
      <c r="B29" s="22"/>
      <c r="C29" s="22"/>
      <c r="D29" s="6"/>
      <c r="E29" s="6"/>
      <c r="F29" s="6"/>
      <c r="G29" s="32"/>
      <c r="H29" s="21"/>
      <c r="I29" s="21">
        <f t="shared" si="0"/>
        <v>0</v>
      </c>
      <c r="J29" s="15"/>
    </row>
    <row r="30" spans="2:10" ht="21.9" customHeight="1" x14ac:dyDescent="0.35">
      <c r="B30" s="36"/>
      <c r="C30" s="36"/>
      <c r="D30" s="23"/>
      <c r="E30" s="23"/>
      <c r="F30" s="23"/>
      <c r="G30" s="23"/>
      <c r="H30" s="24" t="s">
        <v>30</v>
      </c>
      <c r="I30" s="25">
        <f>SUM(I16:I29)</f>
        <v>91296</v>
      </c>
      <c r="J30" s="15"/>
    </row>
    <row r="31" spans="2:10" ht="12.9" customHeight="1" thickBot="1" x14ac:dyDescent="0.4">
      <c r="B31" s="26"/>
      <c r="C31" s="26"/>
      <c r="D31" s="26"/>
      <c r="E31" s="26"/>
      <c r="F31" s="26"/>
      <c r="G31" s="26"/>
      <c r="H31" s="26"/>
      <c r="I31" s="26"/>
      <c r="J31" s="15"/>
    </row>
    <row r="32" spans="2:10" ht="24" customHeight="1" x14ac:dyDescent="0.35">
      <c r="B32" s="27" t="s">
        <v>31</v>
      </c>
      <c r="C32" s="28"/>
      <c r="D32" s="28"/>
      <c r="E32" s="28"/>
      <c r="F32" s="28"/>
      <c r="G32" s="28"/>
      <c r="H32" s="28"/>
      <c r="I32" s="28"/>
      <c r="J32" s="15"/>
    </row>
    <row r="33" spans="2:8" s="15" customFormat="1" ht="20.149999999999999" customHeight="1" x14ac:dyDescent="0.35">
      <c r="B33" s="2" t="s">
        <v>32</v>
      </c>
      <c r="C33" s="2"/>
      <c r="D33" s="29"/>
      <c r="E33" s="29"/>
      <c r="F33" s="29"/>
      <c r="G33" s="29"/>
      <c r="H33" s="29"/>
    </row>
    <row r="34" spans="2:8" s="15" customFormat="1" ht="20.149999999999999" customHeight="1" x14ac:dyDescent="0.35">
      <c r="B34" s="30" t="s">
        <v>35</v>
      </c>
      <c r="C34" s="30" t="s">
        <v>43</v>
      </c>
      <c r="D34" s="29"/>
      <c r="E34" s="29"/>
      <c r="F34" s="29"/>
      <c r="G34" s="29"/>
      <c r="H34" s="29"/>
    </row>
    <row r="35" spans="2:8" s="15" customFormat="1" ht="99.9" customHeight="1" x14ac:dyDescent="0.35">
      <c r="B35" s="31"/>
      <c r="C35" s="31"/>
      <c r="D35" s="29"/>
      <c r="E35" s="29"/>
      <c r="F35" s="29"/>
      <c r="G35" s="29"/>
      <c r="H35" s="29"/>
    </row>
    <row r="36" spans="2:8" ht="20.149999999999999" customHeight="1" x14ac:dyDescent="0.35">
      <c r="B36" s="43" t="s">
        <v>44</v>
      </c>
      <c r="C36" s="44"/>
      <c r="D36" s="29"/>
      <c r="E36" s="29"/>
      <c r="F36" s="29"/>
      <c r="G36" s="29"/>
      <c r="H36" s="29"/>
    </row>
    <row r="37" spans="2:8" ht="24.9" customHeight="1" x14ac:dyDescent="0.35">
      <c r="B37" s="45"/>
      <c r="C37" s="45"/>
      <c r="D37" s="29"/>
      <c r="E37" s="29"/>
      <c r="F37" s="29"/>
      <c r="G37" s="29"/>
      <c r="H37" s="29"/>
    </row>
    <row r="38" spans="2:8" ht="24.9" customHeight="1" x14ac:dyDescent="0.35">
      <c r="B38" s="45"/>
      <c r="C38" s="45"/>
      <c r="D38" s="29"/>
      <c r="E38" s="29"/>
      <c r="F38" s="29"/>
      <c r="G38" s="29"/>
      <c r="H38" s="29"/>
    </row>
    <row r="39" spans="2:8" ht="24.9" customHeight="1" x14ac:dyDescent="0.35">
      <c r="B39" s="45"/>
      <c r="C39" s="45"/>
      <c r="D39" s="29"/>
      <c r="E39" s="29"/>
      <c r="F39" s="29"/>
      <c r="G39" s="29"/>
      <c r="H39" s="29"/>
    </row>
    <row r="41" spans="2:8" x14ac:dyDescent="0.35">
      <c r="B41" s="14" t="s">
        <v>40</v>
      </c>
    </row>
    <row r="42" spans="2:8" x14ac:dyDescent="0.35">
      <c r="B42" s="14" t="s">
        <v>42</v>
      </c>
    </row>
    <row r="43" spans="2:8" x14ac:dyDescent="0.35">
      <c r="B43" s="14" t="s">
        <v>41</v>
      </c>
    </row>
  </sheetData>
  <mergeCells count="6">
    <mergeCell ref="B2:C3"/>
    <mergeCell ref="B30:C30"/>
    <mergeCell ref="B5:C7"/>
    <mergeCell ref="B4:C4"/>
    <mergeCell ref="B37:C39"/>
    <mergeCell ref="B36:C36"/>
  </mergeCells>
  <printOptions horizontalCentered="1"/>
  <pageMargins left="0.23622047244094491" right="0.23622047244094491" top="0.23622047244094491" bottom="0.23622047244094491" header="0" footer="0"/>
  <pageSetup scale="60" orientation="portrait" r:id="rId1"/>
  <headerFooter>
    <oddFooter xml:space="preserve">&amp;LCanoil Canada Ltd
Purchasing, Form # 059
Issue Date: June 26, 2024&amp;RRevision : 1
Revised Date: July 04, 2024 </oddFooter>
  </headerFooter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7" workbookViewId="0">
      <selection activeCell="A19" sqref="A19"/>
    </sheetView>
  </sheetViews>
  <sheetFormatPr defaultRowHeight="14.5" x14ac:dyDescent="0.35"/>
  <cols>
    <col min="1" max="1" width="127.453125" bestFit="1" customWidth="1"/>
  </cols>
  <sheetData>
    <row r="1" spans="1:1" x14ac:dyDescent="0.35">
      <c r="A1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</v>
      </c>
    </row>
    <row r="16" spans="1:1" x14ac:dyDescent="0.35">
      <c r="A16" t="s">
        <v>16</v>
      </c>
    </row>
    <row r="17" spans="1:1" x14ac:dyDescent="0.35">
      <c r="A17" t="s">
        <v>2</v>
      </c>
    </row>
    <row r="18" spans="1:1" x14ac:dyDescent="0.35">
      <c r="A18" t="s">
        <v>17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3</v>
      </c>
    </row>
    <row r="22" spans="1:1" x14ac:dyDescent="0.3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