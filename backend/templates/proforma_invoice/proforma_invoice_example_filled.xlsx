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ales_CSR\Customer Orders\Proforma Invioices\2026\Pengxin (w uhan) Im port &amp; Export Trade Co.,Ltd\"/>
    </mc:Choice>
  </mc:AlternateContent>
  <xr:revisionPtr revIDLastSave="0" documentId="13_ncr:1_{84B7F046-53C4-4966-AA63-033F6BAB6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forma Invoice" sheetId="1" r:id="rId1"/>
  </sheets>
  <definedNames>
    <definedName name="_xlnm._FilterDatabase" localSheetId="0" hidden="1">'Proforma Invoice'!$B$17:$J$17</definedName>
    <definedName name="_xlnm.Print_Titles" localSheetId="0">'Proforma Invoice'!$17:$17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9" i="1" l="1"/>
  <c r="I27" i="1" l="1"/>
</calcChain>
</file>

<file path=xl/sharedStrings.xml><?xml version="1.0" encoding="utf-8"?>
<sst xmlns="http://schemas.openxmlformats.org/spreadsheetml/2006/main" count="52" uniqueCount="45">
  <si>
    <t>Address</t>
  </si>
  <si>
    <t>Phone</t>
  </si>
  <si>
    <t>Email</t>
  </si>
  <si>
    <t>SHIP VIA:</t>
  </si>
  <si>
    <t>SHIP BY DATE:</t>
  </si>
  <si>
    <t>PRODUCT CODE</t>
  </si>
  <si>
    <t>DESCRIPTION OF ITEMS</t>
  </si>
  <si>
    <t>City, State, ZIP</t>
  </si>
  <si>
    <t>Country</t>
  </si>
  <si>
    <t>QTY</t>
  </si>
  <si>
    <t>Canoil Canada Ltd.</t>
  </si>
  <si>
    <t>INVOICE DATE:</t>
  </si>
  <si>
    <t>Sub Total</t>
  </si>
  <si>
    <t>U.S. Funds</t>
  </si>
  <si>
    <t>TOTAL:</t>
  </si>
  <si>
    <t>Branch 03722</t>
  </si>
  <si>
    <t>SWIFT Code CIBCCATT</t>
  </si>
  <si>
    <t>Account# 0280917</t>
  </si>
  <si>
    <t>Buyer</t>
  </si>
  <si>
    <t>CIBC (Canadian Imperial Bank of Commerce)</t>
  </si>
  <si>
    <t xml:space="preserve"> </t>
  </si>
  <si>
    <t xml:space="preserve">
Price U.S.
</t>
  </si>
  <si>
    <t>Total U.S.</t>
  </si>
  <si>
    <t>Bank Information for Wire-transfer</t>
  </si>
  <si>
    <t>Toll-free: 1.855.520.2022</t>
  </si>
  <si>
    <t>Ref#</t>
  </si>
  <si>
    <t>Canoil will provide with the shipment:</t>
  </si>
  <si>
    <t>* SDS, Certificate of Analysis, Bill of Lading, and Packing list</t>
  </si>
  <si>
    <t>Routing: 001003722</t>
  </si>
  <si>
    <t>62 Todd Road,
Georgetown, Ontario, Canada, L7R 4R7
Phone : 1-905-820-2022
Fax: 1-905-820-9119</t>
  </si>
  <si>
    <t>csr@canoilcanadaltd.com</t>
  </si>
  <si>
    <t>Pengxin (wuhan) Import &amp; Export Trade Co.,Ltd.</t>
  </si>
  <si>
    <t>business@whpxjd.com</t>
  </si>
  <si>
    <t xml:space="preserve">China </t>
  </si>
  <si>
    <t>Room 1-1810,Hengda yujingwan K7 block,</t>
  </si>
  <si>
    <t xml:space="preserve">Qianjin village, Hanyang District, Wuhan 430050 </t>
  </si>
  <si>
    <t>TERMS: Proforma Invoice -  100% pre-payment by T/T</t>
  </si>
  <si>
    <t>MOV Long Life NLGI 0-55kg keg</t>
  </si>
  <si>
    <t xml:space="preserve"> PO-20260109</t>
  </si>
  <si>
    <t xml:space="preserve"> 86-27-84840869</t>
  </si>
  <si>
    <t>Trade Terms: EXW</t>
  </si>
  <si>
    <t>Proforma Invoice 2026-01-12</t>
  </si>
  <si>
    <t>AIR</t>
  </si>
  <si>
    <t>MOVLL0K55kg</t>
  </si>
  <si>
    <t>UNPAID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</si>
</sst>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3" x14ac:knownFonts="1">
    <font>
      <sz val="11"/>
      <color theme="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16"/>
      <color theme="1"/>
      <name val="Bookman Old Style"/>
      <family val="2"/>
      <scheme val="minor"/>
    </font>
    <font>
      <b/>
      <sz val="18"/>
      <color theme="4"/>
      <name val="Bookman Old Style"/>
      <family val="2"/>
      <scheme val="minor"/>
    </font>
    <font>
      <b/>
      <sz val="22"/>
      <color theme="0"/>
      <name val="Franklin Gothic Medium"/>
      <family val="2"/>
      <scheme val="major"/>
    </font>
    <font>
      <b/>
      <sz val="11"/>
      <color theme="1" tint="0.24994659260841701"/>
      <name val="Bookman Old Style"/>
      <family val="2"/>
      <scheme val="minor"/>
    </font>
    <font>
      <sz val="10"/>
      <color theme="1" tint="0.499984740745262"/>
      <name val="Franklin Gothic Medium"/>
      <family val="2"/>
      <scheme val="major"/>
    </font>
    <font>
      <sz val="10"/>
      <color theme="0"/>
      <name val="Bookman Old Style"/>
      <family val="1"/>
      <scheme val="minor"/>
    </font>
    <font>
      <sz val="10"/>
      <color theme="1" tint="0.24994659260841701"/>
      <name val="Franklin Gothic Medium"/>
      <family val="2"/>
      <scheme val="major"/>
    </font>
    <font>
      <sz val="10"/>
      <color theme="1" tint="0.249977111117893"/>
      <name val="Franklin Gothic Medium"/>
      <family val="2"/>
      <scheme val="major"/>
    </font>
    <font>
      <sz val="12"/>
      <color theme="0"/>
      <name val="Franklin Gothic Medium"/>
      <family val="2"/>
      <scheme val="major"/>
    </font>
    <font>
      <b/>
      <sz val="18"/>
      <color theme="0"/>
      <name val="Franklin Gothic Medium"/>
      <family val="2"/>
      <scheme val="major"/>
    </font>
    <font>
      <b/>
      <sz val="18"/>
      <color theme="1"/>
      <name val="Bookman Old Style"/>
      <family val="2"/>
      <scheme val="minor"/>
    </font>
    <font>
      <b/>
      <sz val="7"/>
      <color theme="0"/>
      <name val="Franklin Gothic Medium"/>
      <family val="2"/>
      <scheme val="major"/>
    </font>
    <font>
      <sz val="7"/>
      <color theme="0"/>
      <name val="Bookman Old Style"/>
      <family val="2"/>
      <scheme val="minor"/>
    </font>
    <font>
      <b/>
      <sz val="11"/>
      <color theme="1"/>
      <name val="Bookman Old Style"/>
      <family val="1"/>
      <scheme val="minor"/>
    </font>
    <font>
      <sz val="10"/>
      <name val="Franklin Gothic Medium"/>
      <family val="2"/>
      <scheme val="major"/>
    </font>
    <font>
      <sz val="14"/>
      <color theme="1"/>
      <name val="Bookman Old Style"/>
      <family val="2"/>
      <scheme val="minor"/>
    </font>
    <font>
      <sz val="10"/>
      <color rgb="FFFF0000"/>
      <name val="Franklin Gothic Medium"/>
      <family val="2"/>
      <scheme val="major"/>
    </font>
    <font>
      <b/>
      <sz val="11"/>
      <color rgb="FFFF0000"/>
      <name val="Bookman Old Style"/>
      <family val="1"/>
      <scheme val="minor"/>
    </font>
    <font>
      <b/>
      <u/>
      <sz val="11"/>
      <color theme="1"/>
      <name val="Bookman Old Style"/>
      <family val="1"/>
      <scheme val="minor"/>
    </font>
    <font>
      <b/>
      <u/>
      <sz val="11"/>
      <color rgb="FFFF0000"/>
      <name val="Bookman Old Style"/>
      <family val="1"/>
      <scheme val="minor"/>
    </font>
    <font>
      <b/>
      <sz val="10"/>
      <color rgb="FFFF0000"/>
      <name val="Franklin Gothic Medium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1B890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3"/>
    <xf numFmtId="0" fontId="8" fillId="0" borderId="0" xfId="4" applyAlignment="1">
      <alignment horizontal="right" indent="1"/>
    </xf>
    <xf numFmtId="0" fontId="7" fillId="2" borderId="3" xfId="0" applyFont="1" applyFill="1" applyBorder="1" applyAlignment="1">
      <alignment horizontal="left" wrapText="1" indent="1"/>
    </xf>
    <xf numFmtId="0" fontId="7" fillId="2" borderId="2" xfId="0" applyFont="1" applyFill="1" applyBorder="1" applyAlignment="1">
      <alignment horizontal="left" wrapText="1" indent="1"/>
    </xf>
    <xf numFmtId="0" fontId="7" fillId="2" borderId="2" xfId="0" applyFont="1" applyFill="1" applyBorder="1" applyAlignment="1">
      <alignment horizontal="right" wrapText="1" indent="1"/>
    </xf>
    <xf numFmtId="0" fontId="7" fillId="2" borderId="0" xfId="0" applyFont="1" applyFill="1" applyAlignment="1">
      <alignment horizontal="left" wrapText="1" indent="1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left" wrapText="1" indent="1"/>
    </xf>
    <xf numFmtId="0" fontId="5" fillId="0" borderId="0" xfId="3" applyAlignment="1">
      <alignment horizontal="right" indent="1"/>
    </xf>
    <xf numFmtId="0" fontId="11" fillId="3" borderId="0" xfId="2" applyFont="1" applyFill="1" applyAlignment="1">
      <alignment horizontal="left" vertical="center" indent="1"/>
    </xf>
    <xf numFmtId="0" fontId="11" fillId="3" borderId="0" xfId="2" applyFont="1" applyFill="1" applyAlignment="1">
      <alignment horizontal="left" indent="1"/>
    </xf>
    <xf numFmtId="0" fontId="12" fillId="0" borderId="0" xfId="0" applyFont="1"/>
    <xf numFmtId="0" fontId="9" fillId="4" borderId="3" xfId="0" applyFont="1" applyFill="1" applyBorder="1" applyAlignment="1">
      <alignment horizontal="left" indent="1"/>
    </xf>
    <xf numFmtId="0" fontId="9" fillId="4" borderId="4" xfId="0" applyFont="1" applyFill="1" applyBorder="1" applyAlignment="1">
      <alignment horizontal="center"/>
    </xf>
    <xf numFmtId="164" fontId="9" fillId="4" borderId="4" xfId="1" applyNumberFormat="1" applyFont="1" applyFill="1" applyBorder="1" applyAlignment="1">
      <alignment horizontal="right" indent="1"/>
    </xf>
    <xf numFmtId="0" fontId="9" fillId="4" borderId="2" xfId="0" applyFont="1" applyFill="1" applyBorder="1" applyAlignment="1">
      <alignment horizontal="center"/>
    </xf>
    <xf numFmtId="0" fontId="16" fillId="0" borderId="1" xfId="5" applyFont="1"/>
    <xf numFmtId="0" fontId="0" fillId="5" borderId="0" xfId="0" applyFill="1"/>
    <xf numFmtId="0" fontId="17" fillId="0" borderId="0" xfId="0" applyFont="1"/>
    <xf numFmtId="0" fontId="19" fillId="0" borderId="0" xfId="0" quotePrefix="1" applyFont="1"/>
    <xf numFmtId="0" fontId="19" fillId="0" borderId="0" xfId="0" applyFont="1"/>
    <xf numFmtId="8" fontId="9" fillId="4" borderId="4" xfId="0" applyNumberFormat="1" applyFont="1" applyFill="1" applyBorder="1" applyAlignment="1">
      <alignment horizontal="right"/>
    </xf>
    <xf numFmtId="8" fontId="0" fillId="5" borderId="0" xfId="0" applyNumberFormat="1" applyFill="1"/>
    <xf numFmtId="0" fontId="0" fillId="6" borderId="0" xfId="0" applyFill="1"/>
    <xf numFmtId="8" fontId="0" fillId="6" borderId="0" xfId="0" applyNumberFormat="1" applyFill="1"/>
    <xf numFmtId="0" fontId="20" fillId="0" borderId="0" xfId="0" applyFont="1"/>
    <xf numFmtId="0" fontId="21" fillId="0" borderId="0" xfId="0" applyFont="1"/>
    <xf numFmtId="0" fontId="22" fillId="4" borderId="3" xfId="0" applyFont="1" applyFill="1" applyBorder="1" applyAlignment="1">
      <alignment horizontal="left" indent="1"/>
    </xf>
    <xf numFmtId="0" fontId="9" fillId="4" borderId="2" xfId="0" applyFont="1" applyFill="1" applyBorder="1"/>
    <xf numFmtId="0" fontId="9" fillId="4" borderId="0" xfId="0" applyFont="1" applyFill="1"/>
    <xf numFmtId="0" fontId="9" fillId="4" borderId="3" xfId="0" applyFont="1" applyFill="1" applyBorder="1"/>
    <xf numFmtId="0" fontId="16" fillId="0" borderId="1" xfId="5" applyFont="1" applyAlignment="1"/>
    <xf numFmtId="0" fontId="8" fillId="0" borderId="0" xfId="4" applyAlignment="1"/>
    <xf numFmtId="0" fontId="6" fillId="0" borderId="0" xfId="6"/>
    <xf numFmtId="0" fontId="9" fillId="4" borderId="2" xfId="0" applyFont="1" applyFill="1" applyBorder="1" applyAlignment="1">
      <alignment horizontal="left" indent="1"/>
    </xf>
    <xf numFmtId="0" fontId="9" fillId="4" borderId="0" xfId="0" applyFont="1" applyFill="1" applyAlignment="1">
      <alignment horizontal="left" indent="1"/>
    </xf>
    <xf numFmtId="164" fontId="16" fillId="7" borderId="4" xfId="1" applyNumberFormat="1" applyFont="1" applyFill="1" applyBorder="1" applyAlignment="1">
      <alignment horizontal="right" indent="1"/>
    </xf>
    <xf numFmtId="164" fontId="9" fillId="4" borderId="4" xfId="1" applyNumberFormat="1" applyFont="1" applyFill="1" applyBorder="1" applyAlignment="1">
      <alignment horizontal="left" indent="1"/>
    </xf>
    <xf numFmtId="164" fontId="16" fillId="7" borderId="4" xfId="1" applyNumberFormat="1" applyFont="1" applyFill="1" applyBorder="1" applyAlignment="1">
      <alignment horizontal="left" indent="1"/>
    </xf>
    <xf numFmtId="0" fontId="15" fillId="0" borderId="0" xfId="0" quotePrefix="1" applyFont="1" applyAlignment="1">
      <alignment horizontal="left" vertical="center" wrapText="1"/>
    </xf>
    <xf numFmtId="0" fontId="13" fillId="3" borderId="0" xfId="2" applyFont="1" applyFill="1" applyAlignment="1">
      <alignment horizontal="left" wrapText="1"/>
    </xf>
    <xf numFmtId="0" fontId="14" fillId="0" borderId="0" xfId="0" applyFont="1"/>
    <xf numFmtId="14" fontId="16" fillId="0" borderId="1" xfId="5" quotePrefix="1" applyNumberFormat="1" applyFont="1" applyAlignment="1">
      <alignment horizontal="left"/>
    </xf>
    <xf numFmtId="0" fontId="16" fillId="0" borderId="1" xfId="5" applyFont="1" applyAlignment="1">
      <alignment horizontal="left"/>
    </xf>
    <xf numFmtId="0" fontId="10" fillId="2" borderId="4" xfId="0" applyFont="1" applyFill="1" applyBorder="1" applyAlignment="1">
      <alignment horizontal="left" wrapText="1" indent="1"/>
    </xf>
    <xf numFmtId="0" fontId="9" fillId="4" borderId="2" xfId="0" applyFont="1" applyFill="1" applyBorder="1" applyAlignment="1">
      <alignment horizontal="left" indent="1"/>
    </xf>
    <xf numFmtId="0" fontId="9" fillId="4" borderId="0" xfId="0" applyFont="1" applyFill="1" applyAlignment="1">
      <alignment horizontal="left" indent="1"/>
    </xf>
    <xf numFmtId="0" fontId="9" fillId="4" borderId="3" xfId="0" applyFont="1" applyFill="1" applyBorder="1" applyAlignment="1">
      <alignment horizontal="left" indent="1"/>
    </xf>
    <xf numFmtId="14" fontId="16" fillId="0" borderId="1" xfId="5" applyNumberFormat="1" applyFont="1" applyAlignment="1">
      <alignment horizontal="left"/>
    </xf>
    <xf numFmtId="0" fontId="5" fillId="0" borderId="0" xfId="3" applyAlignment="1">
      <alignment horizontal="right" indent="1"/>
    </xf>
    <xf numFmtId="0" fontId="6" fillId="0" borderId="1" xfId="6" applyBorder="1" applyAlignment="1">
      <alignment wrapText="1"/>
    </xf>
    <xf numFmtId="0" fontId="16" fillId="0" borderId="1" xfId="5" applyFont="1"/>
    <xf numFmtId="0" fontId="16" fillId="0" borderId="1" xfId="5" quotePrefix="1" applyFont="1"/>
    <xf numFmtId="0" fontId="6" fillId="0" borderId="1" xfId="6" applyBorder="1"/>
    <xf numFmtId="0" fontId="18" fillId="0" borderId="1" xfId="5" applyFont="1"/>
    <xf numFmtId="0" fontId="8" fillId="0" borderId="0" xfId="4" applyAlignment="1">
      <alignment horizontal="right" indent="1"/>
    </xf>
    <xf numFmtId="0" fontId="6" fillId="0" borderId="0" xfId="5" applyBorder="1"/>
    <xf numFmtId="0" fontId="10" fillId="2" borderId="4" xfId="0" applyFont="1" applyFill="1" applyBorder="1" applyAlignment="1">
      <alignment horizontal="center" vertical="center" wrapText="1"/>
    </xf>
    <xf numFmtId="0" fontId="16" fillId="0" borderId="5" xfId="5" applyFont="1" applyBorder="1" applyAlignment="1">
      <alignment horizontal="left"/>
    </xf>
  </cellXfs>
  <cellStyles count="8">
    <cellStyle name="Currency" xfId="1" builtinId="4"/>
    <cellStyle name="Followed Hyperlink" xfId="7" builtinId="9" customBuiltin="1"/>
    <cellStyle name="Heading 1" xfId="3" builtinId="16" customBuiltin="1"/>
    <cellStyle name="Heading 2" xfId="4" builtinId="17" customBuiltin="1"/>
    <cellStyle name="Heading 3" xfId="5" builtinId="18" customBuiltin="1"/>
    <cellStyle name="Hyperlink" xfId="6" builtinId="8" customBuiltin="1"/>
    <cellStyle name="Normal" xfId="0" builtinId="0"/>
    <cellStyle name="Title" xfId="2" builtinId="15" customBuiltin="1"/>
  </cellStyles>
  <dxfs count="2"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1B8909"/>
      <color rgb="FF187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1</xdr:row>
      <xdr:rowOff>9525</xdr:rowOff>
    </xdr:from>
    <xdr:to>
      <xdr:col>9</xdr:col>
      <xdr:colOff>59054</xdr:colOff>
      <xdr:row>2</xdr:row>
      <xdr:rowOff>1120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9275" y="200025"/>
          <a:ext cx="1000124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Proforma Invoice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noil!@#" TargetMode="External"/><Relationship Id="rId2" Type="http://schemas.openxmlformats.org/officeDocument/2006/relationships/hyperlink" Target="mailto:csr@canoilcanadaltd.com" TargetMode="External"/><Relationship Id="rId1" Type="http://schemas.openxmlformats.org/officeDocument/2006/relationships/hyperlink" Target="mailto:business@whpxjd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34998626667073579"/>
    <pageSetUpPr fitToPage="1"/>
  </sheetPr>
  <dimension ref="B2:J48"/>
  <sheetViews>
    <sheetView showGridLines="0" tabSelected="1" topLeftCell="A3" zoomScale="109" zoomScaleNormal="204" workbookViewId="0">
      <selection activeCell="F24" sqref="F24"/>
    </sheetView>
  </sheetViews>
  <sheetFormatPr defaultColWidth="9.33203125" defaultRowHeight="15" x14ac:dyDescent="0.25"/>
  <cols>
    <col min="1" max="1" width="1.109375" customWidth="1"/>
    <col min="2" max="2" width="24.88671875" customWidth="1"/>
    <col min="3" max="3" width="8.88671875" customWidth="1"/>
    <col min="4" max="4" width="11.33203125" customWidth="1"/>
    <col min="5" max="5" width="3.44140625" customWidth="1"/>
    <col min="6" max="6" width="19.6640625" customWidth="1"/>
    <col min="7" max="7" width="7.88671875" customWidth="1"/>
    <col min="8" max="8" width="14.44140625" customWidth="1"/>
    <col min="9" max="9" width="14.6640625" bestFit="1" customWidth="1"/>
    <col min="10" max="10" width="10.5546875" customWidth="1"/>
    <col min="11" max="11" width="1.33203125" customWidth="1"/>
  </cols>
  <sheetData>
    <row r="2" spans="2:10" ht="50.25" customHeight="1" x14ac:dyDescent="0.4">
      <c r="B2" s="12" t="s">
        <v>10</v>
      </c>
      <c r="C2" s="13"/>
      <c r="D2" s="13"/>
      <c r="E2" s="43" t="s">
        <v>29</v>
      </c>
      <c r="F2" s="44"/>
      <c r="G2" s="44"/>
      <c r="H2" s="44"/>
      <c r="I2" s="14"/>
      <c r="J2" s="2"/>
    </row>
    <row r="4" spans="2:10" ht="20.25" x14ac:dyDescent="0.3">
      <c r="B4" s="11"/>
      <c r="C4" s="21" t="s">
        <v>41</v>
      </c>
      <c r="D4" s="1"/>
      <c r="E4" s="1"/>
      <c r="F4" s="1"/>
      <c r="G4" s="52"/>
      <c r="H4" s="52"/>
    </row>
    <row r="5" spans="2:10" ht="16.5" customHeight="1" x14ac:dyDescent="0.25">
      <c r="B5" s="4" t="s">
        <v>18</v>
      </c>
      <c r="C5" s="34" t="s">
        <v>31</v>
      </c>
      <c r="D5" s="34"/>
      <c r="E5" s="34"/>
      <c r="G5" s="35"/>
      <c r="H5" s="35"/>
      <c r="I5" s="59"/>
      <c r="J5" s="59"/>
    </row>
    <row r="6" spans="2:10" ht="16.5" customHeight="1" x14ac:dyDescent="0.25">
      <c r="B6" s="4"/>
      <c r="C6" s="61"/>
      <c r="D6" s="61"/>
      <c r="E6" s="19"/>
      <c r="G6" s="58"/>
      <c r="H6" s="58"/>
      <c r="I6" s="59"/>
      <c r="J6" s="59"/>
    </row>
    <row r="7" spans="2:10" ht="16.5" customHeight="1" x14ac:dyDescent="0.25">
      <c r="B7" s="4" t="s">
        <v>0</v>
      </c>
      <c r="C7" s="34" t="s">
        <v>34</v>
      </c>
      <c r="D7" s="34"/>
      <c r="E7" s="34"/>
      <c r="G7" s="35"/>
      <c r="H7" s="35"/>
      <c r="I7" s="59"/>
      <c r="J7" s="59"/>
    </row>
    <row r="8" spans="2:10" ht="16.5" customHeight="1" x14ac:dyDescent="0.25">
      <c r="B8" s="4" t="s">
        <v>7</v>
      </c>
      <c r="C8" s="34" t="s">
        <v>35</v>
      </c>
      <c r="D8" s="34"/>
      <c r="E8" s="34"/>
      <c r="G8" s="35"/>
      <c r="H8" s="35"/>
      <c r="I8" s="59"/>
      <c r="J8" s="59"/>
    </row>
    <row r="9" spans="2:10" ht="16.5" customHeight="1" x14ac:dyDescent="0.25">
      <c r="B9" s="4" t="s">
        <v>8</v>
      </c>
      <c r="C9" s="54" t="s">
        <v>33</v>
      </c>
      <c r="D9" s="54"/>
      <c r="E9" s="54"/>
      <c r="G9" s="58"/>
      <c r="H9" s="58"/>
      <c r="I9" s="59"/>
      <c r="J9" s="59"/>
    </row>
    <row r="10" spans="2:10" ht="16.5" customHeight="1" x14ac:dyDescent="0.25">
      <c r="B10" s="4" t="s">
        <v>1</v>
      </c>
      <c r="C10" s="55" t="s">
        <v>39</v>
      </c>
      <c r="D10" s="54"/>
      <c r="E10" s="54"/>
      <c r="G10" s="58"/>
      <c r="H10" s="58"/>
      <c r="I10" s="59"/>
      <c r="J10" s="59"/>
    </row>
    <row r="11" spans="2:10" ht="16.5" customHeight="1" x14ac:dyDescent="0.25">
      <c r="B11" s="4" t="s">
        <v>25</v>
      </c>
      <c r="C11" s="56" t="s">
        <v>38</v>
      </c>
      <c r="D11" s="57"/>
      <c r="E11" s="57"/>
      <c r="G11" s="58"/>
      <c r="H11" s="58"/>
      <c r="I11" s="59"/>
      <c r="J11" s="59"/>
    </row>
    <row r="12" spans="2:10" ht="16.5" customHeight="1" x14ac:dyDescent="0.25">
      <c r="B12" s="4" t="s">
        <v>2</v>
      </c>
      <c r="C12" s="53" t="s">
        <v>32</v>
      </c>
      <c r="D12" s="54"/>
      <c r="E12" s="54"/>
    </row>
    <row r="13" spans="2:10" x14ac:dyDescent="0.25">
      <c r="C13" t="s">
        <v>20</v>
      </c>
    </row>
    <row r="14" spans="2:10" x14ac:dyDescent="0.25">
      <c r="B14" s="3" t="s">
        <v>3</v>
      </c>
      <c r="E14" s="3" t="s">
        <v>4</v>
      </c>
      <c r="I14" s="3" t="s">
        <v>11</v>
      </c>
    </row>
    <row r="15" spans="2:10" ht="16.5" customHeight="1" x14ac:dyDescent="0.25">
      <c r="B15" s="46" t="s">
        <v>42</v>
      </c>
      <c r="C15" s="46"/>
      <c r="E15" s="51">
        <v>46043</v>
      </c>
      <c r="F15" s="46"/>
      <c r="G15" s="46"/>
      <c r="I15" s="45">
        <v>46034</v>
      </c>
      <c r="J15" s="46"/>
    </row>
    <row r="16" spans="2:10" ht="19.5" customHeight="1" x14ac:dyDescent="0.25"/>
    <row r="17" spans="2:10" ht="38.25" customHeight="1" x14ac:dyDescent="0.3">
      <c r="B17" s="10" t="s">
        <v>5</v>
      </c>
      <c r="C17" s="47" t="s">
        <v>6</v>
      </c>
      <c r="D17" s="47"/>
      <c r="E17" s="47"/>
      <c r="F17" s="47"/>
      <c r="G17" s="60" t="s">
        <v>9</v>
      </c>
      <c r="H17" s="60" t="s">
        <v>21</v>
      </c>
      <c r="I17" s="60" t="s">
        <v>22</v>
      </c>
      <c r="J17" s="9"/>
    </row>
    <row r="18" spans="2:10" ht="7.5" customHeight="1" x14ac:dyDescent="0.3">
      <c r="B18" s="5"/>
      <c r="C18" s="6"/>
      <c r="D18" s="8"/>
      <c r="E18" s="8"/>
      <c r="F18" s="5"/>
      <c r="G18" s="60"/>
      <c r="H18" s="60"/>
      <c r="I18" s="60"/>
      <c r="J18" s="7"/>
    </row>
    <row r="19" spans="2:10" ht="18" customHeight="1" x14ac:dyDescent="0.25">
      <c r="B19" s="15" t="s">
        <v>43</v>
      </c>
      <c r="C19" s="48" t="s">
        <v>37</v>
      </c>
      <c r="D19" s="49"/>
      <c r="E19" s="49"/>
      <c r="F19" s="50"/>
      <c r="G19" s="16">
        <v>2</v>
      </c>
      <c r="H19" s="40">
        <v>1433.68</v>
      </c>
      <c r="I19" s="24">
        <f>H19*G19</f>
        <v>2867.36</v>
      </c>
      <c r="J19" s="18"/>
    </row>
    <row r="20" spans="2:10" ht="18" customHeight="1" x14ac:dyDescent="0.25">
      <c r="B20" s="15"/>
      <c r="C20" s="37"/>
      <c r="D20" s="38" t="s">
        <v>44</v>
      </c>
      <c r="E20" s="38"/>
      <c r="F20" s="15"/>
      <c r="G20" s="16">
        <v>1</v>
      </c>
      <c r="H20" s="41">
        <v>206.68</v>
      </c>
      <c r="I20" s="39">
        <v>206.68</v>
      </c>
      <c r="J20" s="18"/>
    </row>
    <row r="21" spans="2:10" ht="18" customHeight="1" x14ac:dyDescent="0.25">
      <c r="B21" s="15"/>
      <c r="C21" s="37"/>
      <c r="D21" s="38"/>
      <c r="E21" s="38"/>
      <c r="F21" s="15"/>
      <c r="G21" s="16"/>
      <c r="H21" s="17"/>
      <c r="I21" s="24"/>
      <c r="J21" s="18"/>
    </row>
    <row r="22" spans="2:10" ht="18" customHeight="1" x14ac:dyDescent="0.25">
      <c r="B22" s="15"/>
      <c r="C22" s="37"/>
      <c r="D22" s="38"/>
      <c r="E22" s="38"/>
      <c r="F22" s="15"/>
      <c r="G22" s="16"/>
      <c r="H22" s="17"/>
      <c r="I22" s="24"/>
      <c r="J22" s="18"/>
    </row>
    <row r="23" spans="2:10" ht="18" customHeight="1" x14ac:dyDescent="0.25">
      <c r="B23" s="15"/>
      <c r="C23" s="37"/>
      <c r="D23" s="38"/>
      <c r="E23" s="38"/>
      <c r="F23" s="15"/>
      <c r="G23" s="16"/>
      <c r="H23" s="17"/>
      <c r="I23" s="24"/>
      <c r="J23" s="18"/>
    </row>
    <row r="24" spans="2:10" ht="18" customHeight="1" x14ac:dyDescent="0.25">
      <c r="B24" s="30"/>
      <c r="C24" s="31"/>
      <c r="D24" s="32"/>
      <c r="E24" s="32"/>
      <c r="F24" s="33"/>
      <c r="G24" s="16"/>
      <c r="H24" s="17"/>
      <c r="I24" s="16"/>
      <c r="J24" s="18"/>
    </row>
    <row r="25" spans="2:10" x14ac:dyDescent="0.25">
      <c r="B25" s="20"/>
      <c r="C25" s="20"/>
      <c r="D25" s="20"/>
      <c r="E25" s="20"/>
      <c r="F25" s="20"/>
      <c r="G25" s="20"/>
      <c r="H25" s="20" t="s">
        <v>12</v>
      </c>
      <c r="I25" s="25"/>
      <c r="J25" s="20" t="s">
        <v>13</v>
      </c>
    </row>
    <row r="26" spans="2:10" x14ac:dyDescent="0.25">
      <c r="B26" s="20"/>
      <c r="C26" s="20"/>
      <c r="D26" s="20"/>
      <c r="E26" s="20"/>
      <c r="F26" s="20"/>
      <c r="G26" s="20"/>
      <c r="H26" s="20"/>
      <c r="I26" s="20"/>
      <c r="J26" s="20"/>
    </row>
    <row r="27" spans="2:10" x14ac:dyDescent="0.25">
      <c r="B27" s="26" t="s">
        <v>20</v>
      </c>
      <c r="C27" s="26"/>
      <c r="D27" s="26"/>
      <c r="E27" s="26"/>
      <c r="F27" s="26"/>
      <c r="G27" s="26"/>
      <c r="H27" s="26" t="s">
        <v>14</v>
      </c>
      <c r="I27" s="27">
        <f>SUM(I19:I26)</f>
        <v>3074.04</v>
      </c>
      <c r="J27" s="26" t="s">
        <v>13</v>
      </c>
    </row>
    <row r="28" spans="2:10" x14ac:dyDescent="0.25">
      <c r="B28" s="20" t="s">
        <v>20</v>
      </c>
      <c r="C28" s="20"/>
      <c r="D28" s="20"/>
      <c r="E28" s="20"/>
      <c r="F28" s="20"/>
      <c r="G28" s="20"/>
      <c r="H28" s="20"/>
      <c r="I28" s="20"/>
      <c r="J28" s="20"/>
    </row>
    <row r="29" spans="2:10" ht="15" customHeight="1" x14ac:dyDescent="0.25">
      <c r="B29" t="s">
        <v>20</v>
      </c>
    </row>
    <row r="30" spans="2:10" ht="15" customHeight="1" x14ac:dyDescent="0.25">
      <c r="B30" t="s">
        <v>36</v>
      </c>
    </row>
    <row r="31" spans="2:10" ht="30" customHeight="1" x14ac:dyDescent="0.25">
      <c r="B31" s="42" t="s">
        <v>40</v>
      </c>
      <c r="C31" s="42"/>
      <c r="D31" s="42"/>
      <c r="E31" s="42"/>
      <c r="F31" s="42"/>
      <c r="G31" s="42"/>
      <c r="H31" s="42"/>
      <c r="I31" s="42"/>
      <c r="J31" s="42"/>
    </row>
    <row r="32" spans="2:10" ht="3" customHeight="1" x14ac:dyDescent="0.25">
      <c r="B32" s="22" t="s">
        <v>20</v>
      </c>
    </row>
    <row r="33" spans="2:8" ht="15" customHeight="1" x14ac:dyDescent="0.25">
      <c r="B33" s="23" t="s">
        <v>20</v>
      </c>
    </row>
    <row r="34" spans="2:8" ht="15" customHeight="1" x14ac:dyDescent="0.25">
      <c r="B34" s="28" t="s">
        <v>26</v>
      </c>
    </row>
    <row r="35" spans="2:8" ht="15" customHeight="1" x14ac:dyDescent="0.25">
      <c r="B35" t="s">
        <v>27</v>
      </c>
    </row>
    <row r="36" spans="2:8" ht="15" customHeight="1" x14ac:dyDescent="0.25"/>
    <row r="37" spans="2:8" ht="15" customHeight="1" x14ac:dyDescent="0.25"/>
    <row r="38" spans="2:8" ht="15" customHeight="1" x14ac:dyDescent="0.25"/>
    <row r="39" spans="2:8" ht="15" customHeight="1" x14ac:dyDescent="0.25"/>
    <row r="40" spans="2:8" ht="15" customHeight="1" x14ac:dyDescent="0.25"/>
    <row r="41" spans="2:8" ht="15" customHeight="1" x14ac:dyDescent="0.25">
      <c r="B41" s="29" t="s">
        <v>23</v>
      </c>
      <c r="C41" s="23"/>
      <c r="D41" s="23"/>
    </row>
    <row r="42" spans="2:8" x14ac:dyDescent="0.25">
      <c r="B42" s="23" t="s">
        <v>19</v>
      </c>
      <c r="C42" s="23"/>
      <c r="D42" s="23"/>
    </row>
    <row r="43" spans="2:8" x14ac:dyDescent="0.25">
      <c r="B43" s="23" t="s">
        <v>15</v>
      </c>
      <c r="C43" s="23"/>
      <c r="D43" s="23"/>
    </row>
    <row r="44" spans="2:8" x14ac:dyDescent="0.25">
      <c r="B44" s="23" t="s">
        <v>17</v>
      </c>
      <c r="C44" s="23"/>
      <c r="D44" s="23"/>
    </row>
    <row r="45" spans="2:8" x14ac:dyDescent="0.25">
      <c r="B45" s="23" t="s">
        <v>28</v>
      </c>
      <c r="C45" s="23"/>
      <c r="D45" s="23"/>
    </row>
    <row r="46" spans="2:8" x14ac:dyDescent="0.25">
      <c r="B46" s="23" t="s">
        <v>16</v>
      </c>
      <c r="H46" t="s">
        <v>10</v>
      </c>
    </row>
    <row r="47" spans="2:8" x14ac:dyDescent="0.25">
      <c r="H47" s="36" t="s">
        <v>30</v>
      </c>
    </row>
    <row r="48" spans="2:8" x14ac:dyDescent="0.25">
      <c r="H48" t="s">
        <v>24</v>
      </c>
    </row>
  </sheetData>
  <mergeCells count="27">
    <mergeCell ref="G10:H10"/>
    <mergeCell ref="G11:H11"/>
    <mergeCell ref="C6:D6"/>
    <mergeCell ref="H17:H18"/>
    <mergeCell ref="G17:G18"/>
    <mergeCell ref="I5:J5"/>
    <mergeCell ref="I11:J11"/>
    <mergeCell ref="I10:J10"/>
    <mergeCell ref="I9:J9"/>
    <mergeCell ref="I8:J8"/>
    <mergeCell ref="I7:J7"/>
    <mergeCell ref="B31:J31"/>
    <mergeCell ref="E2:H2"/>
    <mergeCell ref="I15:J15"/>
    <mergeCell ref="C17:F17"/>
    <mergeCell ref="C19:F19"/>
    <mergeCell ref="B15:C15"/>
    <mergeCell ref="E15:G15"/>
    <mergeCell ref="G4:H4"/>
    <mergeCell ref="C12:E12"/>
    <mergeCell ref="C9:E9"/>
    <mergeCell ref="C10:E10"/>
    <mergeCell ref="C11:E11"/>
    <mergeCell ref="G6:H6"/>
    <mergeCell ref="I6:J6"/>
    <mergeCell ref="G9:H9"/>
    <mergeCell ref="I17:I18"/>
  </mergeCells>
  <conditionalFormatting sqref="B19:J24">
    <cfRule type="expression" dxfId="1" priority="1">
      <formula>MOD(ROW(),2)=0</formula>
    </cfRule>
    <cfRule type="expression" dxfId="0" priority="2">
      <formula>MOD(ROW(),2)</formula>
    </cfRule>
  </conditionalFormatting>
  <hyperlinks>
    <hyperlink ref="C12" r:id="rId1" xr:uid="{A5A13D9A-5627-4EDD-93FB-18C31931097C}"/>
    <hyperlink ref="H47" r:id="rId2" xr:uid="{21C5B57E-DB1A-4CCC-B7FD-01C948E7883D}"/>
    <hyperlink ref="C11" r:id="rId3" display="Canoil!@#" xr:uid="{7084FD8C-B553-4561-821B-A38D36AAB404}"/>
  </hyperlinks>
  <printOptions horizontalCentered="1"/>
  <pageMargins left="0.70866141732283472" right="0.70866141732283472" top="0.74803149606299213" bottom="0.74803149606299213" header="0.31496062992125984" footer="0.31496062992125984"/>
  <pageSetup scale="65" orientation="portrait" r:id="rId4"/>
  <headerFooter differentFirst="1">
    <oddFooter>Page &amp;P of &amp;N</oddFooter>
  </headerFooter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43C0051-CA72-4050-95D1-3EBD0507B4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Proforma Invoice</vt:lpstr>
      <vt:lpstr>'Proforma Invoice'!Print_Titles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Admin</dc:creator>
  <cp:lastModifiedBy>Haron</cp:lastModifiedBy>
  <cp:lastPrinted>2025-04-08T18:46:18Z</cp:lastPrinted>
  <dcterms:created xsi:type="dcterms:W3CDTF">2015-03-25T18:57:32Z</dcterms:created>
  <dcterms:modified xsi:type="dcterms:W3CDTF">2026-01-13T16:06:26Z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TC039345419991</vt:lpwstr>
  </property>
</Properties>
</file>